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2F1E71AB-C6F8-4740-B0B8-F3FD3C0B8F28}" xr6:coauthVersionLast="47" xr6:coauthVersionMax="47" xr10:uidLastSave="{00000000-0000-0000-0000-000000000000}"/>
  <bookViews>
    <workbookView xWindow="25600" yWindow="13800" windowWidth="25620" windowHeight="13220" xr2:uid="{00000000-000D-0000-FFFF-FFFF00000000}"/>
  </bookViews>
  <sheets>
    <sheet name="Sheet" sheetId="1" r:id="rId1"/>
    <sheet name="Extrusion" sheetId="2" r:id="rId2"/>
    <sheet name="Forgings" sheetId="3" r:id="rId3"/>
    <sheet name="Castings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B4" i="1" a="1"/>
  <c r="B4" i="1" s="1"/>
  <c r="B3" i="1" a="1"/>
  <c r="B3" i="1" s="1"/>
  <c r="B2" i="1" a="1"/>
  <c r="B2" i="1" s="1"/>
  <c r="B2" i="3" a="1"/>
  <c r="B2" i="3" s="1"/>
  <c r="B3" i="2" a="1"/>
  <c r="B3" i="2" s="1"/>
  <c r="B2" i="2" a="1"/>
  <c r="B2" i="2" s="1"/>
  <c r="B12" i="1" a="1"/>
  <c r="B12" i="1" s="1"/>
  <c r="B11" i="1" a="1"/>
  <c r="B11" i="1" s="1"/>
  <c r="B10" i="1" a="1"/>
  <c r="B10" i="1" s="1"/>
  <c r="B7" i="1" a="1"/>
  <c r="B7" i="1" s="1"/>
  <c r="B9" i="1" a="1"/>
  <c r="B9" i="1" s="1"/>
  <c r="B8" i="1" a="1"/>
  <c r="B8" i="1" s="1"/>
  <c r="B6" i="1" a="1"/>
  <c r="B6" i="1" s="1"/>
  <c r="B4" i="4" a="1"/>
  <c r="B4" i="4" s="1"/>
  <c r="B3" i="4" a="1"/>
  <c r="B3" i="4" s="1"/>
  <c r="B2" i="4" a="1"/>
  <c r="B2" i="4" s="1"/>
  <c r="A5" i="1" l="1" a="1"/>
  <c r="A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<sst xmlns="http://schemas.openxmlformats.org/spreadsheetml/2006/main" count="14" uniqueCount="11">
  <si>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Alloy</t>
  </si>
  <si>
    <t>Auto Sheet 1xxx</t>
  </si>
  <si>
    <t>Auto Sheet 3xxx</t>
  </si>
  <si>
    <t>Auto Sheet 4xxx</t>
  </si>
  <si>
    <t>Auto Sheet 7xxx</t>
  </si>
  <si>
    <t>Auto Extrusion 6xxx</t>
  </si>
  <si>
    <t>Auto Extrusion 7xxx</t>
  </si>
  <si>
    <t>Auto Forgings 6xxx</t>
  </si>
  <si>
    <t>Auto Castings 319</t>
  </si>
  <si>
    <t>Auto Castings A380</t>
  </si>
  <si>
    <t>Auto Castings A356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</si>
</sst>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2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horizontal="center" vertical="top"/>
    </xf>
    <xf numFmtId="0" fontId="1" fillId="0" borderId="1" xfId="1" applyFont="1" applyBorder="1" applyAlignment="1">
      <alignment horizontal="center" vertical="top"/>
    </xf>
    <xf numFmtId="0" fontId="2" fillId="0" borderId="2" xfId="1"/>
    <xf numFmtId="0" fontId="1" fillId="0" borderId="2" xfId="1" applyFont="1" applyAlignment="1">
      <alignment horizontal="left" vertical="top"/>
    </xf>
    <xf numFmtId="0" fontId="4" fillId="0" borderId="2" xfId="1" applyFont="1"/>
  </cellXfs>
  <cellStyles count="2">
    <cellStyle name="Normal" xfId="0" builtinId="0"/>
    <cellStyle name="Normal 2" xfId="1" xr:uid="{F1F6E1B3-A390-CE4A-BFAE-F9795847C6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shifting_demand_domestic_ABS_demand.xlsx" TargetMode="External"/><Relationship Id="rId1" Type="http://schemas.openxmlformats.org/officeDocument/2006/relationships/externalLinkPath" Target="shifting_demand_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>
        <row r="993">
          <cell r="AZ993">
            <v>156.94579810235911</v>
          </cell>
          <cell r="BA993">
            <v>159.57889884192923</v>
          </cell>
          <cell r="BB993">
            <v>160.74825228304857</v>
          </cell>
          <cell r="BC993">
            <v>160.67368451774306</v>
          </cell>
          <cell r="BD993">
            <v>159.70147383689667</v>
          </cell>
          <cell r="BE993">
            <v>158.24854250262811</v>
          </cell>
          <cell r="BF993">
            <v>156.73241800501904</v>
          </cell>
          <cell r="BG993">
            <v>155.50033228241733</v>
          </cell>
          <cell r="BH993">
            <v>154.77442840866533</v>
          </cell>
          <cell r="BI993">
            <v>154.62731686797127</v>
          </cell>
          <cell r="BJ993">
            <v>154.99173402483575</v>
          </cell>
          <cell r="BK993">
            <v>155.69716466268338</v>
          </cell>
          <cell r="BL993">
            <v>156.52178743474536</v>
          </cell>
          <cell r="BM993">
            <v>157.24556180687881</v>
          </cell>
          <cell r="BN993">
            <v>157.69204887770474</v>
          </cell>
          <cell r="BO993">
            <v>157.75263358799828</v>
          </cell>
          <cell r="BP993">
            <v>157.39206927076995</v>
          </cell>
          <cell r="BQ993">
            <v>156.63880904401577</v>
          </cell>
          <cell r="BR993">
            <v>155.56697178248629</v>
          </cell>
          <cell r="BS993">
            <v>154.2767170316182</v>
          </cell>
          <cell r="BT993">
            <v>152.87715525878937</v>
          </cell>
          <cell r="BU993">
            <v>151.4732440738421</v>
          </cell>
          <cell r="BV993">
            <v>150.15665209718165</v>
          </cell>
          <cell r="BW993">
            <v>149.00012802331594</v>
          </cell>
          <cell r="BX993">
            <v>148.05489645589444</v>
          </cell>
          <cell r="BY993">
            <v>147.35061244449588</v>
          </cell>
          <cell r="BZ993">
            <v>146.89733872627522</v>
          </cell>
          <cell r="CA993">
            <v>146.68891760329376</v>
          </cell>
          <cell r="CB993">
            <v>146.7070716825653</v>
          </cell>
          <cell r="CC993">
            <v>146.92562089676193</v>
          </cell>
          <cell r="CD993">
            <v>147.31433381957652</v>
          </cell>
          <cell r="CE993">
            <v>147.84210351338771</v>
          </cell>
          <cell r="CF993">
            <v>148.47930830129906</v>
          </cell>
          <cell r="CG993">
            <v>149.19935886459626</v>
          </cell>
          <cell r="CH993">
            <v>149.97952850554833</v>
          </cell>
          <cell r="CI993">
            <v>150.80121486190609</v>
          </cell>
        </row>
        <row r="994">
          <cell r="AZ994">
            <v>313.8917187309064</v>
          </cell>
          <cell r="BA994">
            <v>319.1582222650685</v>
          </cell>
          <cell r="BB994">
            <v>321.49719836720311</v>
          </cell>
          <cell r="BC994">
            <v>321.3483017937794</v>
          </cell>
          <cell r="BD994">
            <v>319.40409425211362</v>
          </cell>
          <cell r="BE994">
            <v>316.49842555973839</v>
          </cell>
          <cell r="BF994">
            <v>313.46635339151123</v>
          </cell>
          <cell r="BG994">
            <v>311.00234194490463</v>
          </cell>
          <cell r="BH994">
            <v>309.5506757642861</v>
          </cell>
          <cell r="BI994">
            <v>309.25657229274901</v>
          </cell>
          <cell r="BJ994">
            <v>309.98550027330282</v>
          </cell>
          <cell r="BK994">
            <v>311.39642494964244</v>
          </cell>
          <cell r="BL994">
            <v>313.04569995287841</v>
          </cell>
          <cell r="BM994">
            <v>314.49324220051989</v>
          </cell>
          <cell r="BN994">
            <v>315.38617426354381</v>
          </cell>
          <cell r="BO994">
            <v>315.5072693274069</v>
          </cell>
          <cell r="BP994">
            <v>314.78603945385521</v>
          </cell>
          <cell r="BQ994">
            <v>313.27939760938801</v>
          </cell>
          <cell r="BR994">
            <v>311.13558868890209</v>
          </cell>
          <cell r="BS994">
            <v>308.55493813184023</v>
          </cell>
          <cell r="BT994">
            <v>305.75567214624914</v>
          </cell>
          <cell r="BU994">
            <v>302.94771021668652</v>
          </cell>
          <cell r="BV994">
            <v>300.31439240267281</v>
          </cell>
          <cell r="BW994">
            <v>298.00121797941006</v>
          </cell>
          <cell r="BX994">
            <v>296.11063729424052</v>
          </cell>
          <cell r="BY994">
            <v>294.70196115763736</v>
          </cell>
          <cell r="BZ994">
            <v>293.79531514456687</v>
          </cell>
          <cell r="CA994">
            <v>293.37838405679884</v>
          </cell>
          <cell r="CB994">
            <v>293.4146127370517</v>
          </cell>
          <cell r="CC994">
            <v>293.85164066771165</v>
          </cell>
          <cell r="CD994">
            <v>294.62900455500062</v>
          </cell>
          <cell r="CE994">
            <v>295.68448998173432</v>
          </cell>
          <cell r="CF994">
            <v>296.95885289625755</v>
          </cell>
          <cell r="CG994">
            <v>298.39891396000087</v>
          </cell>
          <cell r="CH994">
            <v>299.95921917212769</v>
          </cell>
          <cell r="CI994">
            <v>301.60256314192912</v>
          </cell>
        </row>
        <row r="995">
          <cell r="AZ995">
            <v>650.20345697589062</v>
          </cell>
          <cell r="BA995">
            <v>661.11245983066874</v>
          </cell>
          <cell r="BB995">
            <v>665.95732613976088</v>
          </cell>
          <cell r="BC995">
            <v>665.6487695547271</v>
          </cell>
          <cell r="BD995">
            <v>661.62138242161586</v>
          </cell>
          <cell r="BE995">
            <v>655.60242290020301</v>
          </cell>
          <cell r="BF995">
            <v>649.32165109502353</v>
          </cell>
          <cell r="BG995">
            <v>644.21759984445373</v>
          </cell>
          <cell r="BH995">
            <v>641.21057574381939</v>
          </cell>
          <cell r="BI995">
            <v>640.60139377655855</v>
          </cell>
          <cell r="BJ995">
            <v>642.11138944687514</v>
          </cell>
          <cell r="BK995">
            <v>645.03414124225355</v>
          </cell>
          <cell r="BL995">
            <v>648.45067385313405</v>
          </cell>
          <cell r="BM995">
            <v>651.44938945109118</v>
          </cell>
          <cell r="BN995">
            <v>653.29932395364494</v>
          </cell>
          <cell r="BO995">
            <v>653.55049617631289</v>
          </cell>
          <cell r="BP995">
            <v>652.05687811744156</v>
          </cell>
          <cell r="BQ995">
            <v>648.93634074950864</v>
          </cell>
          <cell r="BR995">
            <v>644.49594244531886</v>
          </cell>
          <cell r="BS995">
            <v>639.1506256742548</v>
          </cell>
          <cell r="BT995">
            <v>633.35241726425897</v>
          </cell>
          <cell r="BU995">
            <v>627.5361415941793</v>
          </cell>
          <cell r="BV995">
            <v>622.08157102024768</v>
          </cell>
          <cell r="BW995">
            <v>617.29009753529078</v>
          </cell>
          <cell r="BX995">
            <v>613.37394324033983</v>
          </cell>
          <cell r="BY995">
            <v>610.45597203691125</v>
          </cell>
          <cell r="BZ995">
            <v>608.57788024092656</v>
          </cell>
          <cell r="CA995">
            <v>607.71416508798825</v>
          </cell>
          <cell r="CB995">
            <v>607.78911319768918</v>
          </cell>
          <cell r="CC995">
            <v>608.69427083416531</v>
          </cell>
          <cell r="CD995">
            <v>610.30439916821865</v>
          </cell>
          <cell r="CE995">
            <v>612.49063075755203</v>
          </cell>
          <cell r="CF995">
            <v>615.13025069758851</v>
          </cell>
          <cell r="CG995">
            <v>618.11310536859651</v>
          </cell>
          <cell r="CH995">
            <v>621.34504279073383</v>
          </cell>
          <cell r="CI995">
            <v>624.74899644283494</v>
          </cell>
        </row>
        <row r="996">
          <cell r="AZ996">
            <v>23.387954011531569</v>
          </cell>
          <cell r="BA996">
            <v>23.787417527002599</v>
          </cell>
          <cell r="BB996">
            <v>24.041643563777178</v>
          </cell>
          <cell r="BC996">
            <v>24.199510012473631</v>
          </cell>
          <cell r="BD996">
            <v>24.341703593006059</v>
          </cell>
          <cell r="BE996">
            <v>24.576607388972448</v>
          </cell>
          <cell r="BF996">
            <v>25.02990296951663</v>
          </cell>
          <cell r="BG996">
            <v>25.826935494612869</v>
          </cell>
          <cell r="BH996">
            <v>27.071178535893168</v>
          </cell>
          <cell r="BI996">
            <v>28.825296069956199</v>
          </cell>
          <cell r="BJ996">
            <v>31.100017140509582</v>
          </cell>
          <cell r="BK996">
            <v>33.853065337489177</v>
          </cell>
          <cell r="BL996">
            <v>36.998459063391778</v>
          </cell>
          <cell r="BM996">
            <v>40.423166695568689</v>
          </cell>
          <cell r="BN996">
            <v>44.00602934179642</v>
          </cell>
          <cell r="BO996">
            <v>47.63451411213493</v>
          </cell>
          <cell r="BP996">
            <v>51.21612430806227</v>
          </cell>
          <cell r="BQ996">
            <v>54.683427182524312</v>
          </cell>
          <cell r="BR996">
            <v>57.994078720514111</v>
          </cell>
          <cell r="BS996">
            <v>61.128045713902694</v>
          </cell>
          <cell r="BT996">
            <v>64.083571840427268</v>
          </cell>
          <cell r="BU996">
            <v>66.872605207496321</v>
          </cell>
          <cell r="BV996">
            <v>69.516049829273257</v>
          </cell>
          <cell r="BW996">
            <v>72.039209999390607</v>
          </cell>
          <cell r="BX996">
            <v>74.467852942345601</v>
          </cell>
          <cell r="BY996">
            <v>76.825249290702374</v>
          </cell>
          <cell r="BZ996">
            <v>79.13036509594933</v>
          </cell>
          <cell r="CA996">
            <v>81.39716009061344</v>
          </cell>
          <cell r="CB996">
            <v>83.634774653168407</v>
          </cell>
          <cell r="CC996">
            <v>85.848302817133913</v>
          </cell>
          <cell r="CD996">
            <v>88.039846239188506</v>
          </cell>
          <cell r="CE996">
            <v>90.209600330329209</v>
          </cell>
          <cell r="CF996">
            <v>92.356804480209377</v>
          </cell>
          <cell r="CG996">
            <v>94.480470143180099</v>
          </cell>
          <cell r="CH996">
            <v>96.579865488522501</v>
          </cell>
          <cell r="CI996">
            <v>98.654779808767131</v>
          </cell>
        </row>
        <row r="998">
          <cell r="AZ998">
            <v>11.076075528467417</v>
          </cell>
          <cell r="BA998">
            <v>11.26530438871705</v>
          </cell>
          <cell r="BB998">
            <v>11.385755262172069</v>
          </cell>
          <cell r="BC998">
            <v>11.460568028724442</v>
          </cell>
          <cell r="BD998">
            <v>11.527946330643196</v>
          </cell>
          <cell r="BE998">
            <v>11.639211736875314</v>
          </cell>
          <cell r="BF998">
            <v>11.853880305154341</v>
          </cell>
          <cell r="BG998">
            <v>12.231310795047953</v>
          </cell>
          <cell r="BH998">
            <v>12.820505863526453</v>
          </cell>
          <cell r="BI998">
            <v>13.651144844378823</v>
          </cell>
          <cell r="BJ998">
            <v>14.728316370826571</v>
          </cell>
          <cell r="BK998">
            <v>16.032010512065352</v>
          </cell>
          <cell r="BL998">
            <v>17.521520714045458</v>
          </cell>
          <cell r="BM998">
            <v>19.143328570040719</v>
          </cell>
          <cell r="BN998">
            <v>20.840063500247989</v>
          </cell>
          <cell r="BO998">
            <v>22.558436062531378</v>
          </cell>
          <cell r="BP998">
            <v>24.254641670979311</v>
          </cell>
          <cell r="BQ998">
            <v>25.89674236668052</v>
          </cell>
          <cell r="BR998">
            <v>27.46467944951679</v>
          </cell>
          <cell r="BS998">
            <v>28.94895901384022</v>
          </cell>
          <cell r="BT998">
            <v>30.348742569321608</v>
          </cell>
          <cell r="BU998">
            <v>31.669682345844588</v>
          </cell>
          <cell r="BV998">
            <v>32.921672997051161</v>
          </cell>
          <cell r="BW998">
            <v>34.116694343470726</v>
          </cell>
          <cell r="BX998">
            <v>35.266946742434619</v>
          </cell>
          <cell r="BY998">
            <v>36.383449367050531</v>
          </cell>
          <cell r="BZ998">
            <v>37.475183710419657</v>
          </cell>
          <cell r="CA998">
            <v>38.548761046943241</v>
          </cell>
          <cell r="CB998">
            <v>39.608510723558631</v>
          </cell>
          <cell r="CC998">
            <v>40.656846070784823</v>
          </cell>
          <cell r="CD998">
            <v>41.694763385977787</v>
          </cell>
          <cell r="CE998">
            <v>42.722356196268308</v>
          </cell>
          <cell r="CF998">
            <v>43.739265241824071</v>
          </cell>
          <cell r="CG998">
            <v>44.745023178389161</v>
          </cell>
          <cell r="CH998">
            <v>45.739284168559735</v>
          </cell>
          <cell r="CI998">
            <v>46.721949018984709</v>
          </cell>
        </row>
        <row r="999">
          <cell r="AZ999">
            <v>2.4694688663207511</v>
          </cell>
          <cell r="BA999">
            <v>2.5117920511906022</v>
          </cell>
          <cell r="BB999">
            <v>2.5387914316127271</v>
          </cell>
          <cell r="BC999">
            <v>2.5556215055933187</v>
          </cell>
          <cell r="BD999">
            <v>2.5707954711139926</v>
          </cell>
          <cell r="BE999">
            <v>2.5957519031976943</v>
          </cell>
          <cell r="BF999">
            <v>2.6437588427333369</v>
          </cell>
          <cell r="BG999">
            <v>2.7280523956742351</v>
          </cell>
          <cell r="BH999">
            <v>2.8595613453915711</v>
          </cell>
          <cell r="BI999">
            <v>3.0449062930704529</v>
          </cell>
          <cell r="BJ999">
            <v>3.2852241721682791</v>
          </cell>
          <cell r="BK999">
            <v>3.5760539017667767</v>
          </cell>
          <cell r="BL999">
            <v>3.9083180365821892</v>
          </cell>
          <cell r="BM999">
            <v>4.2700819248656652</v>
          </cell>
          <cell r="BN999">
            <v>4.6485520569993266</v>
          </cell>
          <cell r="BO999">
            <v>5.031845194829633</v>
          </cell>
          <cell r="BP999">
            <v>5.4101932985338124</v>
          </cell>
          <cell r="BQ999">
            <v>5.7764745162919624</v>
          </cell>
          <cell r="BR999">
            <v>6.1262159014671376</v>
          </cell>
          <cell r="BS999">
            <v>6.4573002455277919</v>
          </cell>
          <cell r="BT999">
            <v>6.7695403089175281</v>
          </cell>
          <cell r="BU999">
            <v>7.0641961848503891</v>
          </cell>
          <cell r="BV999">
            <v>7.3434740159030962</v>
          </cell>
          <cell r="BW999">
            <v>7.6100449908089498</v>
          </cell>
          <cell r="BX999">
            <v>7.8666295786903646</v>
          </cell>
          <cell r="BY999">
            <v>8.1156849479133903</v>
          </cell>
          <cell r="BZ999">
            <v>8.3592139754655719</v>
          </cell>
          <cell r="CA999">
            <v>8.5986910601497843</v>
          </cell>
          <cell r="CB999">
            <v>8.8350818070348112</v>
          </cell>
          <cell r="CC999">
            <v>9.0689245908265619</v>
          </cell>
          <cell r="CD999">
            <v>9.3004418225562873</v>
          </cell>
          <cell r="CE999">
            <v>9.5296546147009238</v>
          </cell>
          <cell r="CF999">
            <v>9.756483112295788</v>
          </cell>
          <cell r="CG999">
            <v>9.9808233605695094</v>
          </cell>
          <cell r="CH999">
            <v>10.202598488778689</v>
          </cell>
          <cell r="CI999">
            <v>10.4217866112858</v>
          </cell>
        </row>
        <row r="1000">
          <cell r="AZ1000">
            <v>27.428597252104538</v>
          </cell>
          <cell r="BA1000">
            <v>27.869723614906285</v>
          </cell>
          <cell r="BB1000">
            <v>28.129913293507972</v>
          </cell>
          <cell r="BC1000">
            <v>28.23332522377099</v>
          </cell>
          <cell r="BD1000">
            <v>28.257959311001724</v>
          </cell>
          <cell r="BE1000">
            <v>28.303097284798703</v>
          </cell>
          <cell r="BF1000">
            <v>28.478415230539685</v>
          </cell>
          <cell r="BG1000">
            <v>28.895299872280127</v>
          </cell>
          <cell r="BH1000">
            <v>29.639450722930221</v>
          </cell>
          <cell r="BI1000">
            <v>30.752329881661812</v>
          </cell>
          <cell r="BJ1000">
            <v>32.221094314503723</v>
          </cell>
          <cell r="BK1000">
            <v>33.980224067113255</v>
          </cell>
          <cell r="BL1000">
            <v>35.92480726382999</v>
          </cell>
          <cell r="BM1000">
            <v>37.931338144790686</v>
          </cell>
          <cell r="BN1000">
            <v>39.879589166162752</v>
          </cell>
          <cell r="BO1000">
            <v>41.72073631801679</v>
          </cell>
          <cell r="BP1000">
            <v>43.353457920093938</v>
          </cell>
          <cell r="BQ1000">
            <v>44.787974750896211</v>
          </cell>
          <cell r="BR1000">
            <v>46.043492142562748</v>
          </cell>
          <cell r="BS1000">
            <v>47.142313028663189</v>
          </cell>
          <cell r="BT1000">
            <v>48.084716851896715</v>
          </cell>
          <cell r="BU1000">
            <v>48.830915812293867</v>
          </cell>
          <cell r="BV1000">
            <v>49.29662623632025</v>
          </cell>
          <cell r="BW1000">
            <v>49.365291924191474</v>
          </cell>
          <cell r="BX1000">
            <v>48.9133069020221</v>
          </cell>
          <cell r="BY1000">
            <v>47.839593620740494</v>
          </cell>
          <cell r="BZ1000">
            <v>46.090232703195838</v>
          </cell>
          <cell r="CA1000">
            <v>43.671825393512989</v>
          </cell>
          <cell r="CB1000">
            <v>40.651718469183599</v>
          </cell>
          <cell r="CC1000">
            <v>37.147119887172508</v>
          </cell>
          <cell r="CD1000">
            <v>33.307397446187032</v>
          </cell>
          <cell r="CE1000">
            <v>29.334003286950612</v>
          </cell>
          <cell r="CF1000">
            <v>25.346767908146369</v>
          </cell>
          <cell r="CG1000">
            <v>21.46558704699757</v>
          </cell>
          <cell r="CH1000">
            <v>17.803381696267735</v>
          </cell>
          <cell r="CI1000">
            <v>14.441847523170605</v>
          </cell>
        </row>
        <row r="1001">
          <cell r="AZ1001">
            <v>0</v>
          </cell>
          <cell r="BA1001">
            <v>1.6839218042133335E-2</v>
          </cell>
          <cell r="BB1001">
            <v>4.0191600079582716E-2</v>
          </cell>
          <cell r="BC1001">
            <v>9.0458763696966177E-2</v>
          </cell>
          <cell r="BD1001">
            <v>0.17786916225753716</v>
          </cell>
          <cell r="BE1001">
            <v>0.31953981411682547</v>
          </cell>
          <cell r="BF1001">
            <v>0.53866718405260627</v>
          </cell>
          <cell r="BG1001">
            <v>0.85713711811303606</v>
          </cell>
          <cell r="BH1001">
            <v>1.2968343225874239</v>
          </cell>
          <cell r="BI1001">
            <v>1.8773885740646301</v>
          </cell>
          <cell r="BJ1001">
            <v>2.6143482588726727</v>
          </cell>
          <cell r="BK1001">
            <v>3.5174213783000323</v>
          </cell>
          <cell r="BL1001">
            <v>4.5890316616212701</v>
          </cell>
          <cell r="BM1001">
            <v>5.8235567692418178</v>
          </cell>
          <cell r="BN1001">
            <v>7.2075351989035727</v>
          </cell>
          <cell r="BO1001">
            <v>8.6898436349492965</v>
          </cell>
          <cell r="BP1001">
            <v>10.266128502575551</v>
          </cell>
          <cell r="BQ1001">
            <v>11.880276810635714</v>
          </cell>
          <cell r="BR1001">
            <v>13.480652136059044</v>
          </cell>
          <cell r="BS1001">
            <v>15.01053432353538</v>
          </cell>
          <cell r="BT1001">
            <v>16.411355984456968</v>
          </cell>
          <cell r="BU1001">
            <v>17.627082662577738</v>
          </cell>
          <cell r="BV1001">
            <v>18.609298721491271</v>
          </cell>
          <cell r="BW1001">
            <v>19.322035493759298</v>
          </cell>
          <cell r="BX1001">
            <v>19.745217648493128</v>
          </cell>
          <cell r="BY1001">
            <v>19.87594233037861</v>
          </cell>
          <cell r="BZ1001">
            <v>19.727445340934842</v>
          </cell>
          <cell r="CA1001">
            <v>19.326214789565679</v>
          </cell>
          <cell r="CB1001">
            <v>18.708048456541906</v>
          </cell>
          <cell r="CC1001">
            <v>17.913879475618153</v>
          </cell>
          <cell r="CD1001">
            <v>16.986008155570762</v>
          </cell>
          <cell r="CE1001">
            <v>15.940745877502438</v>
          </cell>
          <cell r="CF1001">
            <v>14.837453641107011</v>
          </cell>
          <cell r="CG1001">
            <v>13.718817659455773</v>
          </cell>
          <cell r="CH1001">
            <v>12.609524019738044</v>
          </cell>
          <cell r="CI1001">
            <v>11.52908486251442</v>
          </cell>
        </row>
        <row r="1002">
          <cell r="AZ1002">
            <v>0</v>
          </cell>
          <cell r="BA1002">
            <v>1.0531193505715559E-2</v>
          </cell>
          <cell r="BB1002">
            <v>2.5135699097388151E-2</v>
          </cell>
          <cell r="BC1002">
            <v>5.6573499069069826E-2</v>
          </cell>
          <cell r="BD1002">
            <v>0.11124359683231619</v>
          </cell>
          <cell r="BE1002">
            <v>0.19985924636965344</v>
          </cell>
          <cell r="BF1002">
            <v>0.33695003989119993</v>
          </cell>
          <cell r="BG1002">
            <v>0.53625228540208103</v>
          </cell>
          <cell r="BH1002">
            <v>0.81153974642986504</v>
          </cell>
          <cell r="BI1002">
            <v>1.1752175148778627</v>
          </cell>
          <cell r="BJ1002">
            <v>1.6371687187241117</v>
          </cell>
          <cell r="BK1002">
            <v>2.2036293902237323</v>
          </cell>
          <cell r="BL1002">
            <v>2.8762537912088906</v>
          </cell>
          <cell r="BM1002">
            <v>3.6516101106935488</v>
          </cell>
          <cell r="BN1002">
            <v>4.5212940233544572</v>
          </cell>
          <cell r="BO1002">
            <v>5.453274663682909</v>
          </cell>
          <cell r="BP1002">
            <v>6.4447099908238199</v>
          </cell>
          <cell r="BQ1002">
            <v>7.460335314056203</v>
          </cell>
          <cell r="BR1002">
            <v>8.4676414322069018</v>
          </cell>
          <cell r="BS1002">
            <v>9.4308955645546995</v>
          </cell>
          <cell r="BT1002">
            <v>10.313167066613822</v>
          </cell>
          <cell r="BU1002">
            <v>11.079081360615429</v>
          </cell>
          <cell r="BV1002">
            <v>11.698033721947116</v>
          </cell>
          <cell r="BW1002">
            <v>12.147253988079667</v>
          </cell>
          <cell r="BX1002">
            <v>12.414004335860961</v>
          </cell>
          <cell r="BY1002">
            <v>12.496404552962705</v>
          </cell>
          <cell r="BZ1002">
            <v>12.402787060499781</v>
          </cell>
          <cell r="CA1002">
            <v>12.149872205293395</v>
          </cell>
          <cell r="CB1002">
            <v>11.760270204859513</v>
          </cell>
          <cell r="CC1002">
            <v>11.259835061861317</v>
          </cell>
          <cell r="CD1002">
            <v>10.675276769272427</v>
          </cell>
          <cell r="CE1002">
            <v>10.01695712699355</v>
          </cell>
          <cell r="CF1002">
            <v>9.3222699248324972</v>
          </cell>
          <cell r="CG1002">
            <v>8.6180981662125564</v>
          </cell>
          <cell r="CH1002">
            <v>7.9199882172114275</v>
          </cell>
          <cell r="CI1002">
            <v>7.2402148102914188</v>
          </cell>
        </row>
        <row r="1003">
          <cell r="AZ1003">
            <v>72.109898335549687</v>
          </cell>
          <cell r="BA1003">
            <v>73.24118452516062</v>
          </cell>
          <cell r="BB1003">
            <v>73.885788432757522</v>
          </cell>
          <cell r="BC1003">
            <v>74.072811036631435</v>
          </cell>
          <cell r="BD1003">
            <v>73.990139702254368</v>
          </cell>
          <cell r="BE1003">
            <v>73.870259460153335</v>
          </cell>
          <cell r="BF1003">
            <v>73.963365259441801</v>
          </cell>
          <cell r="BG1003">
            <v>74.527563095901641</v>
          </cell>
          <cell r="BH1003">
            <v>75.755166538988817</v>
          </cell>
          <cell r="BI1003">
            <v>77.727888341142915</v>
          </cell>
          <cell r="BJ1003">
            <v>80.392954684582392</v>
          </cell>
          <cell r="BK1003">
            <v>83.569215392816659</v>
          </cell>
          <cell r="BL1003">
            <v>86.983066846430546</v>
          </cell>
          <cell r="BM1003">
            <v>90.323147605896963</v>
          </cell>
          <cell r="BN1003">
            <v>93.296769804423661</v>
          </cell>
          <cell r="BO1003">
            <v>95.623911643529141</v>
          </cell>
          <cell r="BP1003">
            <v>97.195330918964174</v>
          </cell>
          <cell r="BQ1003">
            <v>97.913323942090642</v>
          </cell>
          <cell r="BR1003">
            <v>97.778476208265516</v>
          </cell>
          <cell r="BS1003">
            <v>96.87065684161098</v>
          </cell>
          <cell r="BT1003">
            <v>95.34780441819322</v>
          </cell>
          <cell r="BU1003">
            <v>93.439340613170017</v>
          </cell>
          <cell r="BV1003">
            <v>91.428660350763025</v>
          </cell>
          <cell r="BW1003">
            <v>89.622379636545219</v>
          </cell>
          <cell r="BX1003">
            <v>88.310909051377337</v>
          </cell>
          <cell r="BY1003">
            <v>87.729753757397191</v>
          </cell>
          <cell r="BZ1003">
            <v>88.030990407259026</v>
          </cell>
          <cell r="CA1003">
            <v>89.270639226973969</v>
          </cell>
          <cell r="CB1003">
            <v>91.412633702582838</v>
          </cell>
          <cell r="CC1003">
            <v>94.345943251684275</v>
          </cell>
          <cell r="CD1003">
            <v>97.909223391970841</v>
          </cell>
          <cell r="CE1003">
            <v>102.26321049293546</v>
          </cell>
          <cell r="CF1003">
            <v>106.99253450151826</v>
          </cell>
          <cell r="CG1003">
            <v>111.77005280660035</v>
          </cell>
          <cell r="CH1003">
            <v>116.45981808165072</v>
          </cell>
          <cell r="CI1003">
            <v>120.95960240837633</v>
          </cell>
        </row>
        <row r="1004">
          <cell r="AZ1004">
            <v>0</v>
          </cell>
          <cell r="BA1004">
            <v>4.9501955260370378E-2</v>
          </cell>
          <cell r="BB1004">
            <v>0.118150544995851</v>
          </cell>
          <cell r="BC1004">
            <v>0.26586745521795535</v>
          </cell>
          <cell r="BD1004">
            <v>0.52259125592622957</v>
          </cell>
          <cell r="BE1004">
            <v>0.93814040203832527</v>
          </cell>
          <cell r="BF1004">
            <v>1.5793475854144352</v>
          </cell>
          <cell r="BG1004">
            <v>2.5076083042689183</v>
          </cell>
          <cell r="BH1004">
            <v>3.7820216610910018</v>
          </cell>
          <cell r="BI1004">
            <v>5.4525615187224128</v>
          </cell>
          <cell r="BJ1004">
            <v>7.555369917283751</v>
          </cell>
          <cell r="BK1004">
            <v>10.109091844960398</v>
          </cell>
          <cell r="BL1004">
            <v>13.112533455337749</v>
          </cell>
          <cell r="BM1004">
            <v>16.544097401555444</v>
          </cell>
          <cell r="BN1004">
            <v>20.363342697589918</v>
          </cell>
          <cell r="BO1004">
            <v>24.565014470212382</v>
          </cell>
          <cell r="BP1004">
            <v>29.050018287256606</v>
          </cell>
          <cell r="BQ1004">
            <v>33.79487314323913</v>
          </cell>
          <cell r="BR1004">
            <v>38.769130717823444</v>
          </cell>
          <cell r="BS1004">
            <v>43.958126245887868</v>
          </cell>
          <cell r="BT1004">
            <v>49.362752779244822</v>
          </cell>
          <cell r="BU1004">
            <v>54.995153590115606</v>
          </cell>
          <cell r="BV1004">
            <v>60.871350804233153</v>
          </cell>
          <cell r="BW1004">
            <v>67.002852397495417</v>
          </cell>
          <cell r="BX1004">
            <v>73.389570422852813</v>
          </cell>
          <cell r="BY1004">
            <v>80.015767047915858</v>
          </cell>
          <cell r="BZ1004">
            <v>86.849597934918663</v>
          </cell>
          <cell r="CA1004">
            <v>93.845728133992381</v>
          </cell>
          <cell r="CB1004">
            <v>100.94985372392854</v>
          </cell>
          <cell r="CC1004">
            <v>108.10385093726171</v>
          </cell>
          <cell r="CD1004">
            <v>115.25053119499515</v>
          </cell>
          <cell r="CE1004">
            <v>122.15067495415612</v>
          </cell>
          <cell r="CF1004">
            <v>128.87866649471965</v>
          </cell>
          <cell r="CG1004">
            <v>135.48372114496962</v>
          </cell>
          <cell r="CH1004">
            <v>141.93695513135253</v>
          </cell>
          <cell r="CI1004">
            <v>148.21781683651909</v>
          </cell>
        </row>
        <row r="1005">
          <cell r="AZ1005">
            <v>0</v>
          </cell>
          <cell r="BA1005">
            <v>5.0891858971780744E-2</v>
          </cell>
          <cell r="BB1005">
            <v>0.12146794690717813</v>
          </cell>
          <cell r="BC1005">
            <v>0.27340153071600859</v>
          </cell>
          <cell r="BD1005">
            <v>0.53764241058391704</v>
          </cell>
          <cell r="BE1005">
            <v>0.96606509247519579</v>
          </cell>
          <cell r="BF1005">
            <v>1.6291627919417593</v>
          </cell>
          <cell r="BG1005">
            <v>2.5939209781159653</v>
          </cell>
          <cell r="BH1005">
            <v>3.9279776295917093</v>
          </cell>
          <cell r="BI1005">
            <v>5.6928699703350922</v>
          </cell>
          <cell r="BJ1005">
            <v>7.9383249461194652</v>
          </cell>
          <cell r="BK1005">
            <v>10.696512439515836</v>
          </cell>
          <cell r="BL1005">
            <v>13.977137206832083</v>
          </cell>
          <cell r="BM1005">
            <v>17.764657468509188</v>
          </cell>
          <cell r="BN1005">
            <v>22.018638002152048</v>
          </cell>
          <cell r="BO1005">
            <v>26.677384256155424</v>
          </cell>
          <cell r="BP1005">
            <v>31.664073109344017</v>
          </cell>
          <cell r="BQ1005">
            <v>36.894041410068944</v>
          </cell>
          <cell r="BR1005">
            <v>42.281865717910613</v>
          </cell>
          <cell r="BS1005">
            <v>47.747221040022048</v>
          </cell>
          <cell r="BT1005">
            <v>53.219011099684408</v>
          </cell>
          <cell r="BU1005">
            <v>58.637711776691248</v>
          </cell>
          <cell r="BV1005">
            <v>63.956171442328476</v>
          </cell>
          <cell r="BW1005">
            <v>69.139251270665667</v>
          </cell>
          <cell r="BX1005">
            <v>74.162708792793069</v>
          </cell>
          <cell r="BY1005">
            <v>79.011673808742827</v>
          </cell>
          <cell r="BZ1005">
            <v>83.678982213646719</v>
          </cell>
          <cell r="CA1005">
            <v>88.163549581148544</v>
          </cell>
          <cell r="CB1005">
            <v>92.468891784670021</v>
          </cell>
          <cell r="CC1005">
            <v>96.601847085258797</v>
          </cell>
          <cell r="CD1005">
            <v>100.57151471016167</v>
          </cell>
          <cell r="CE1005">
            <v>104.22908393134784</v>
          </cell>
          <cell r="CF1005">
            <v>107.69571835934083</v>
          </cell>
          <cell r="CG1005">
            <v>111.05567325936207</v>
          </cell>
          <cell r="CH1005">
            <v>114.31751266169798</v>
          </cell>
          <cell r="CI1005">
            <v>117.4896371606751</v>
          </cell>
        </row>
        <row r="1006">
          <cell r="AZ1006">
            <v>2.4694688663207511</v>
          </cell>
          <cell r="BA1006">
            <v>2.5117920511906022</v>
          </cell>
          <cell r="BB1006">
            <v>2.5387914316127271</v>
          </cell>
          <cell r="BC1006">
            <v>2.5556215055933187</v>
          </cell>
          <cell r="BD1006">
            <v>2.5707954711139926</v>
          </cell>
          <cell r="BE1006">
            <v>2.5957519031976943</v>
          </cell>
          <cell r="BF1006">
            <v>2.6437588427333369</v>
          </cell>
          <cell r="BG1006">
            <v>2.7280523956742351</v>
          </cell>
          <cell r="BH1006">
            <v>2.8595613453915711</v>
          </cell>
          <cell r="BI1006">
            <v>3.0449062930704529</v>
          </cell>
          <cell r="BJ1006">
            <v>3.2852241721682791</v>
          </cell>
          <cell r="BK1006">
            <v>3.5760539017667767</v>
          </cell>
          <cell r="BL1006">
            <v>3.9083180365821892</v>
          </cell>
          <cell r="BM1006">
            <v>4.2700819248656652</v>
          </cell>
          <cell r="BN1006">
            <v>4.6485520569993266</v>
          </cell>
          <cell r="BO1006">
            <v>5.031845194829633</v>
          </cell>
          <cell r="BP1006">
            <v>5.4101932985338124</v>
          </cell>
          <cell r="BQ1006">
            <v>5.7764745162919624</v>
          </cell>
          <cell r="BR1006">
            <v>6.1262159014671376</v>
          </cell>
          <cell r="BS1006">
            <v>6.4573002455277919</v>
          </cell>
          <cell r="BT1006">
            <v>6.7695403089175281</v>
          </cell>
          <cell r="BU1006">
            <v>7.0641961848503891</v>
          </cell>
          <cell r="BV1006">
            <v>7.3434740159030962</v>
          </cell>
          <cell r="BW1006">
            <v>7.6100449908089498</v>
          </cell>
          <cell r="BX1006">
            <v>7.8666295786903646</v>
          </cell>
          <cell r="BY1006">
            <v>8.1156849479133903</v>
          </cell>
          <cell r="BZ1006">
            <v>8.3592139754655719</v>
          </cell>
          <cell r="CA1006">
            <v>8.5986910601497843</v>
          </cell>
          <cell r="CB1006">
            <v>8.8350818070348112</v>
          </cell>
          <cell r="CC1006">
            <v>9.0689245908265619</v>
          </cell>
          <cell r="CD1006">
            <v>9.3004418225562873</v>
          </cell>
          <cell r="CE1006">
            <v>9.5296546147009238</v>
          </cell>
          <cell r="CF1006">
            <v>9.756483112295788</v>
          </cell>
          <cell r="CG1006">
            <v>9.9808233605695094</v>
          </cell>
          <cell r="CH1006">
            <v>10.202598488778689</v>
          </cell>
          <cell r="CI1006">
            <v>10.4217866112858</v>
          </cell>
        </row>
        <row r="1013">
          <cell r="AZ1013">
            <v>66.714224161596576</v>
          </cell>
          <cell r="BA1013">
            <v>69.085386309437595</v>
          </cell>
          <cell r="BB1013">
            <v>71.094590767109679</v>
          </cell>
          <cell r="BC1013">
            <v>72.837932496077613</v>
          </cell>
          <cell r="BD1013">
            <v>74.47271200036667</v>
          </cell>
          <cell r="BE1013">
            <v>76.196202777786951</v>
          </cell>
          <cell r="BF1013">
            <v>78.213280813629609</v>
          </cell>
          <cell r="BG1013">
            <v>80.697093817274208</v>
          </cell>
          <cell r="BH1013">
            <v>83.75343663944426</v>
          </cell>
          <cell r="BI1013">
            <v>87.400593382608747</v>
          </cell>
          <cell r="BJ1013">
            <v>91.570607740490189</v>
          </cell>
          <cell r="BK1013">
            <v>96.129581671528399</v>
          </cell>
          <cell r="BL1013">
            <v>100.91100943221645</v>
          </cell>
          <cell r="BM1013">
            <v>105.75254037434956</v>
          </cell>
          <cell r="BN1013">
            <v>110.5262806137263</v>
          </cell>
          <cell r="BO1013">
            <v>115.15689851021871</v>
          </cell>
          <cell r="BP1013">
            <v>119.625489769723</v>
          </cell>
          <cell r="BQ1013">
            <v>123.96119109690221</v>
          </cell>
          <cell r="BR1013">
            <v>128.2263183242203</v>
          </cell>
          <cell r="BS1013">
            <v>132.50097757523389</v>
          </cell>
          <cell r="BT1013">
            <v>136.87036660927546</v>
          </cell>
          <cell r="BU1013">
            <v>141.41534538553356</v>
          </cell>
          <cell r="BV1013">
            <v>146.20571493074345</v>
          </cell>
          <cell r="BW1013">
            <v>151.29565518464642</v>
          </cell>
          <cell r="BX1013">
            <v>156.72111750691599</v>
          </cell>
          <cell r="BY1013">
            <v>162.49914215637193</v>
          </cell>
          <cell r="BZ1013">
            <v>168.628984636371</v>
          </cell>
          <cell r="CA1013">
            <v>175.09472141551549</v>
          </cell>
          <cell r="CB1013">
            <v>181.86882038671047</v>
          </cell>
          <cell r="CC1013">
            <v>188.91609245827289</v>
          </cell>
          <cell r="CD1013">
            <v>196.1974962848787</v>
          </cell>
          <cell r="CE1013">
            <v>203.67340788167309</v>
          </cell>
          <cell r="CF1013">
            <v>211.3061383307836</v>
          </cell>
          <cell r="CG1013">
            <v>219.06163914859388</v>
          </cell>
          <cell r="CH1013">
            <v>226.9104567536011</v>
          </cell>
          <cell r="CI1013">
            <v>234.82806472665169</v>
          </cell>
        </row>
        <row r="1014">
          <cell r="AZ1014">
            <v>24.675794320781343</v>
          </cell>
          <cell r="BA1014">
            <v>25.552738624631321</v>
          </cell>
          <cell r="BB1014">
            <v>26.295822700570501</v>
          </cell>
          <cell r="BC1014">
            <v>26.94058720878192</v>
          </cell>
          <cell r="BD1014">
            <v>27.545209241382068</v>
          </cell>
          <cell r="BE1014">
            <v>28.182649410356809</v>
          </cell>
          <cell r="BF1014">
            <v>28.92867968229276</v>
          </cell>
          <cell r="BG1014">
            <v>29.84733658846983</v>
          </cell>
          <cell r="BH1014">
            <v>30.977745340747408</v>
          </cell>
          <cell r="BI1014">
            <v>32.32666500661724</v>
          </cell>
          <cell r="BJ1014">
            <v>33.868958718149507</v>
          </cell>
          <cell r="BK1014">
            <v>35.555101006787588</v>
          </cell>
          <cell r="BL1014">
            <v>37.323506361080476</v>
          </cell>
          <cell r="BM1014">
            <v>39.114126498490734</v>
          </cell>
          <cell r="BN1014">
            <v>40.87965868597626</v>
          </cell>
          <cell r="BO1014">
            <v>42.59224307059668</v>
          </cell>
          <cell r="BP1014">
            <v>44.244892171942595</v>
          </cell>
          <cell r="BQ1014">
            <v>45.848388475626763</v>
          </cell>
          <cell r="BR1014">
            <v>47.42578664900136</v>
          </cell>
          <cell r="BS1014">
            <v>49.006720895381306</v>
          </cell>
          <cell r="BT1014">
            <v>50.622707494932627</v>
          </cell>
          <cell r="BU1014">
            <v>52.30365682023772</v>
          </cell>
          <cell r="BV1014">
            <v>54.075387313408385</v>
          </cell>
          <cell r="BW1014">
            <v>55.957938233453021</v>
          </cell>
          <cell r="BX1014">
            <v>57.964605506336</v>
          </cell>
          <cell r="BY1014">
            <v>60.101689614992992</v>
          </cell>
          <cell r="BZ1014">
            <v>62.368912546771277</v>
          </cell>
          <cell r="CA1014">
            <v>64.760381852624477</v>
          </cell>
          <cell r="CB1014">
            <v>67.265911488170019</v>
          </cell>
          <cell r="CC1014">
            <v>69.872483553656707</v>
          </cell>
          <cell r="CD1014">
            <v>72.565655660949687</v>
          </cell>
          <cell r="CE1014">
            <v>75.330770296282793</v>
          </cell>
          <cell r="CF1014">
            <v>78.153885996497934</v>
          </cell>
          <cell r="CG1014">
            <v>81.022408267693152</v>
          </cell>
          <cell r="CH1014">
            <v>83.925442311719436</v>
          </cell>
          <cell r="CI1014">
            <v>86.853916130448908</v>
          </cell>
        </row>
        <row r="1019">
          <cell r="AZ1019">
            <v>25.575323057585102</v>
          </cell>
          <cell r="BA1019">
            <v>26.11957654361666</v>
          </cell>
          <cell r="BB1019">
            <v>26.406749483445729</v>
          </cell>
          <cell r="BC1019">
            <v>26.46366596208405</v>
          </cell>
          <cell r="BD1019">
            <v>26.341155256900379</v>
          </cell>
          <cell r="BE1019">
            <v>26.106193767041241</v>
          </cell>
          <cell r="BF1019">
            <v>25.830788385578181</v>
          </cell>
          <cell r="BG1019">
            <v>25.58002205987448</v>
          </cell>
          <cell r="BH1019">
            <v>25.40234832962815</v>
          </cell>
          <cell r="BI1019">
            <v>25.32464710411756</v>
          </cell>
          <cell r="BJ1019">
            <v>25.352741627042512</v>
          </cell>
          <cell r="BK1019">
            <v>25.476215523212371</v>
          </cell>
          <cell r="BL1019">
            <v>25.67581200718541</v>
          </cell>
          <cell r="BM1019">
            <v>25.931235293611529</v>
          </cell>
          <cell r="BN1019">
            <v>26.22733782484292</v>
          </cell>
          <cell r="BO1019">
            <v>26.557639295900017</v>
          </cell>
          <cell r="BP1019">
            <v>26.924900896422599</v>
          </cell>
          <cell r="BQ1019">
            <v>27.339275526737659</v>
          </cell>
          <cell r="BR1019">
            <v>27.815286278086329</v>
          </cell>
          <cell r="BS1019">
            <v>28.368867232196649</v>
          </cell>
          <cell r="BT1019">
            <v>29.015093821318871</v>
          </cell>
          <cell r="BU1019">
            <v>29.766663503044519</v>
          </cell>
          <cell r="BV1019">
            <v>30.63295082293461</v>
          </cell>
          <cell r="BW1019">
            <v>31.619476842377843</v>
          </cell>
          <cell r="BX1019">
            <v>32.727722053549385</v>
          </cell>
          <cell r="BY1019">
            <v>33.955264345208874</v>
          </cell>
          <cell r="BZ1019">
            <v>35.296218330589625</v>
          </cell>
          <cell r="CA1019">
            <v>36.741915121977556</v>
          </cell>
          <cell r="CB1019">
            <v>38.281727072756581</v>
          </cell>
          <cell r="CC1019">
            <v>39.903928506399161</v>
          </cell>
          <cell r="CD1019">
            <v>41.596493933943741</v>
          </cell>
          <cell r="CE1019">
            <v>43.347762777098019</v>
          </cell>
          <cell r="CF1019">
            <v>45.146933411613972</v>
          </cell>
          <cell r="CG1019">
            <v>46.984379870067414</v>
          </cell>
          <cell r="CH1019">
            <v>48.851808202955795</v>
          </cell>
          <cell r="CI1019">
            <v>50.742282773176058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9"/>
  <sheetViews>
    <sheetView tabSelected="1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M14" sqref="M14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3" t="s">
        <v>1</v>
      </c>
      <c r="B2" s="4" cm="1">
        <f t="array" ref="B2:AK2">'[1]Transport. LDVs (Liao)'!$AZ996:$CI996</f>
        <v>23.387954011531569</v>
      </c>
      <c r="C2" s="4">
        <v>23.787417527002599</v>
      </c>
      <c r="D2" s="4">
        <v>24.041643563777178</v>
      </c>
      <c r="E2" s="4">
        <v>24.199510012473631</v>
      </c>
      <c r="F2" s="4">
        <v>24.341703593006059</v>
      </c>
      <c r="G2" s="4">
        <v>24.576607388972448</v>
      </c>
      <c r="H2" s="5">
        <v>25.02990296951663</v>
      </c>
      <c r="I2" s="5">
        <v>25.826935494612869</v>
      </c>
      <c r="J2" s="5">
        <v>27.071178535893168</v>
      </c>
      <c r="K2" s="5">
        <v>28.825296069956199</v>
      </c>
      <c r="L2" s="5">
        <v>31.100017140509582</v>
      </c>
      <c r="M2" s="5">
        <v>33.853065337489177</v>
      </c>
      <c r="N2" s="5">
        <v>36.998459063391778</v>
      </c>
      <c r="O2" s="5">
        <v>40.423166695568689</v>
      </c>
      <c r="P2" s="5">
        <v>44.00602934179642</v>
      </c>
      <c r="Q2" s="5">
        <v>47.63451411213493</v>
      </c>
      <c r="R2" s="5">
        <v>51.21612430806227</v>
      </c>
      <c r="S2" s="5">
        <v>54.683427182524312</v>
      </c>
      <c r="T2" s="5">
        <v>57.994078720514111</v>
      </c>
      <c r="U2" s="5">
        <v>61.128045713902694</v>
      </c>
      <c r="V2" s="5">
        <v>64.083571840427268</v>
      </c>
      <c r="W2" s="5">
        <v>66.872605207496321</v>
      </c>
      <c r="X2" s="5">
        <v>69.516049829273257</v>
      </c>
      <c r="Y2" s="5">
        <v>72.039209999390607</v>
      </c>
      <c r="Z2" s="5">
        <v>74.467852942345601</v>
      </c>
      <c r="AA2" s="5">
        <v>76.825249290702374</v>
      </c>
      <c r="AB2" s="5">
        <v>79.13036509594933</v>
      </c>
      <c r="AC2" s="5">
        <v>81.39716009061344</v>
      </c>
      <c r="AD2" s="5">
        <v>83.634774653168407</v>
      </c>
      <c r="AE2" s="5">
        <v>85.848302817133913</v>
      </c>
      <c r="AF2" s="5">
        <v>88.039846239188506</v>
      </c>
      <c r="AG2" s="5">
        <v>90.209600330329209</v>
      </c>
      <c r="AH2" s="5">
        <v>92.356804480209377</v>
      </c>
      <c r="AI2" s="5">
        <v>94.480470143180099</v>
      </c>
      <c r="AJ2" s="5">
        <v>96.579865488522501</v>
      </c>
      <c r="AK2" s="5">
        <v>98.654779808767131</v>
      </c>
    </row>
    <row r="3" spans="1:37" x14ac:dyDescent="0.2">
      <c r="A3" s="3" t="s">
        <v>2</v>
      </c>
      <c r="B3" s="4" cm="1">
        <f t="array" ref="B3:AK3">'[1]Transport. LDVs (Liao)'!$AZ998:$CI998</f>
        <v>11.076075528467417</v>
      </c>
      <c r="C3" s="4">
        <v>11.26530438871705</v>
      </c>
      <c r="D3" s="4">
        <v>11.385755262172069</v>
      </c>
      <c r="E3" s="4">
        <v>11.460568028724442</v>
      </c>
      <c r="F3" s="4">
        <v>11.527946330643196</v>
      </c>
      <c r="G3" s="4">
        <v>11.639211736875314</v>
      </c>
      <c r="H3" s="5">
        <v>11.853880305154341</v>
      </c>
      <c r="I3" s="5">
        <v>12.231310795047953</v>
      </c>
      <c r="J3" s="5">
        <v>12.820505863526453</v>
      </c>
      <c r="K3" s="5">
        <v>13.651144844378823</v>
      </c>
      <c r="L3" s="5">
        <v>14.728316370826571</v>
      </c>
      <c r="M3" s="5">
        <v>16.032010512065352</v>
      </c>
      <c r="N3" s="5">
        <v>17.521520714045458</v>
      </c>
      <c r="O3" s="5">
        <v>19.143328570040719</v>
      </c>
      <c r="P3" s="5">
        <v>20.840063500247989</v>
      </c>
      <c r="Q3" s="5">
        <v>22.558436062531378</v>
      </c>
      <c r="R3" s="5">
        <v>24.254641670979311</v>
      </c>
      <c r="S3" s="5">
        <v>25.89674236668052</v>
      </c>
      <c r="T3" s="5">
        <v>27.46467944951679</v>
      </c>
      <c r="U3" s="5">
        <v>28.94895901384022</v>
      </c>
      <c r="V3" s="5">
        <v>30.348742569321608</v>
      </c>
      <c r="W3" s="5">
        <v>31.669682345844588</v>
      </c>
      <c r="X3" s="5">
        <v>32.921672997051161</v>
      </c>
      <c r="Y3" s="5">
        <v>34.116694343470726</v>
      </c>
      <c r="Z3" s="5">
        <v>35.266946742434619</v>
      </c>
      <c r="AA3" s="5">
        <v>36.383449367050531</v>
      </c>
      <c r="AB3" s="5">
        <v>37.475183710419657</v>
      </c>
      <c r="AC3" s="5">
        <v>38.548761046943241</v>
      </c>
      <c r="AD3" s="5">
        <v>39.608510723558631</v>
      </c>
      <c r="AE3" s="5">
        <v>40.656846070784823</v>
      </c>
      <c r="AF3" s="5">
        <v>41.694763385977787</v>
      </c>
      <c r="AG3" s="5">
        <v>42.722356196268308</v>
      </c>
      <c r="AH3" s="5">
        <v>43.739265241824071</v>
      </c>
      <c r="AI3" s="5">
        <v>44.745023178389161</v>
      </c>
      <c r="AJ3" s="5">
        <v>45.739284168559735</v>
      </c>
      <c r="AK3" s="5">
        <v>46.721949018984709</v>
      </c>
    </row>
    <row r="4" spans="1:37" x14ac:dyDescent="0.2">
      <c r="A4" s="3" t="s">
        <v>3</v>
      </c>
      <c r="B4" s="4" cm="1">
        <f t="array" ref="B4:AK4">'[1]Transport. LDVs (Liao)'!$AZ999:$CI999</f>
        <v>2.4694688663207511</v>
      </c>
      <c r="C4" s="4">
        <v>2.5117920511906022</v>
      </c>
      <c r="D4" s="4">
        <v>2.5387914316127271</v>
      </c>
      <c r="E4" s="4">
        <v>2.5556215055933187</v>
      </c>
      <c r="F4" s="4">
        <v>2.5707954711139926</v>
      </c>
      <c r="G4" s="4">
        <v>2.5957519031976943</v>
      </c>
      <c r="H4" s="5">
        <v>2.6437588427333369</v>
      </c>
      <c r="I4" s="5">
        <v>2.7280523956742351</v>
      </c>
      <c r="J4" s="5">
        <v>2.8595613453915711</v>
      </c>
      <c r="K4" s="5">
        <v>3.0449062930704529</v>
      </c>
      <c r="L4" s="5">
        <v>3.2852241721682791</v>
      </c>
      <c r="M4" s="5">
        <v>3.5760539017667767</v>
      </c>
      <c r="N4" s="5">
        <v>3.9083180365821892</v>
      </c>
      <c r="O4" s="5">
        <v>4.2700819248656652</v>
      </c>
      <c r="P4" s="5">
        <v>4.6485520569993266</v>
      </c>
      <c r="Q4" s="5">
        <v>5.031845194829633</v>
      </c>
      <c r="R4" s="5">
        <v>5.4101932985338124</v>
      </c>
      <c r="S4" s="5">
        <v>5.7764745162919624</v>
      </c>
      <c r="T4" s="5">
        <v>6.1262159014671376</v>
      </c>
      <c r="U4" s="5">
        <v>6.4573002455277919</v>
      </c>
      <c r="V4" s="5">
        <v>6.7695403089175281</v>
      </c>
      <c r="W4" s="5">
        <v>7.0641961848503891</v>
      </c>
      <c r="X4" s="5">
        <v>7.3434740159030962</v>
      </c>
      <c r="Y4" s="5">
        <v>7.6100449908089498</v>
      </c>
      <c r="Z4" s="5">
        <v>7.8666295786903646</v>
      </c>
      <c r="AA4" s="5">
        <v>8.1156849479133903</v>
      </c>
      <c r="AB4" s="5">
        <v>8.3592139754655719</v>
      </c>
      <c r="AC4" s="5">
        <v>8.5986910601497843</v>
      </c>
      <c r="AD4" s="5">
        <v>8.8350818070348112</v>
      </c>
      <c r="AE4" s="5">
        <v>9.0689245908265619</v>
      </c>
      <c r="AF4" s="5">
        <v>9.3004418225562873</v>
      </c>
      <c r="AG4" s="5">
        <v>9.5296546147009238</v>
      </c>
      <c r="AH4" s="5">
        <v>9.756483112295788</v>
      </c>
      <c r="AI4" s="5">
        <v>9.9808233605695094</v>
      </c>
      <c r="AJ4" s="5">
        <v>10.202598488778689</v>
      </c>
      <c r="AK4" s="5">
        <v>10.4217866112858</v>
      </c>
    </row>
    <row r="5" spans="1:37" x14ac:dyDescent="0.2">
      <c r="A5" s="2" t="str" cm="1">
        <f t="array" ref="A5:A11">[2]Sheet!$A$2:$A$8</f>
        <v>Auto Sheet 5xxx</v>
      </c>
      <c r="B5" s="4" cm="1">
        <f t="array" ref="B5:AK5">'[1]Transport. LDVs (Liao)'!$AZ1000:$CI1000</f>
        <v>27.428597252104538</v>
      </c>
      <c r="C5" s="4">
        <v>27.869723614906285</v>
      </c>
      <c r="D5" s="4">
        <v>28.129913293507972</v>
      </c>
      <c r="E5" s="4">
        <v>28.23332522377099</v>
      </c>
      <c r="F5" s="4">
        <v>28.257959311001724</v>
      </c>
      <c r="G5" s="4">
        <v>28.303097284798703</v>
      </c>
      <c r="H5">
        <v>28.478415230539685</v>
      </c>
      <c r="I5">
        <v>28.895299872280127</v>
      </c>
      <c r="J5">
        <v>29.639450722930221</v>
      </c>
      <c r="K5">
        <v>30.752329881661812</v>
      </c>
      <c r="L5">
        <v>32.221094314503723</v>
      </c>
      <c r="M5">
        <v>33.980224067113255</v>
      </c>
      <c r="N5">
        <v>35.92480726382999</v>
      </c>
      <c r="O5">
        <v>37.931338144790686</v>
      </c>
      <c r="P5">
        <v>39.879589166162752</v>
      </c>
      <c r="Q5">
        <v>41.72073631801679</v>
      </c>
      <c r="R5">
        <v>43.353457920093938</v>
      </c>
      <c r="S5">
        <v>44.787974750896211</v>
      </c>
      <c r="T5">
        <v>46.043492142562748</v>
      </c>
      <c r="U5">
        <v>47.142313028663189</v>
      </c>
      <c r="V5">
        <v>48.084716851896715</v>
      </c>
      <c r="W5">
        <v>48.830915812293867</v>
      </c>
      <c r="X5">
        <v>49.29662623632025</v>
      </c>
      <c r="Y5">
        <v>49.365291924191474</v>
      </c>
      <c r="Z5">
        <v>48.9133069020221</v>
      </c>
      <c r="AA5">
        <v>47.839593620740494</v>
      </c>
      <c r="AB5">
        <v>46.090232703195838</v>
      </c>
      <c r="AC5">
        <v>43.671825393512989</v>
      </c>
      <c r="AD5">
        <v>40.651718469183599</v>
      </c>
      <c r="AE5">
        <v>37.147119887172508</v>
      </c>
      <c r="AF5">
        <v>33.307397446187032</v>
      </c>
      <c r="AG5">
        <v>29.334003286950612</v>
      </c>
      <c r="AH5">
        <v>25.346767908146369</v>
      </c>
      <c r="AI5">
        <v>21.46558704699757</v>
      </c>
      <c r="AJ5">
        <v>17.803381696267735</v>
      </c>
      <c r="AK5">
        <v>14.441847523170605</v>
      </c>
    </row>
    <row r="6" spans="1:37" x14ac:dyDescent="0.2">
      <c r="A6" s="2" t="str">
        <v>Auto Sheet Ford Low Mg</v>
      </c>
      <c r="B6" s="4" cm="1">
        <f t="array" ref="B6:AK6">'[1]Transport. LDVs (Liao)'!$AZ1001:$CI1001</f>
        <v>0</v>
      </c>
      <c r="C6" s="4">
        <v>1.6839218042133335E-2</v>
      </c>
      <c r="D6" s="4">
        <v>4.0191600079582716E-2</v>
      </c>
      <c r="E6" s="4">
        <v>9.0458763696966177E-2</v>
      </c>
      <c r="F6" s="4">
        <v>0.17786916225753716</v>
      </c>
      <c r="G6" s="4">
        <v>0.31953981411682547</v>
      </c>
      <c r="H6">
        <v>0.53866718405260627</v>
      </c>
      <c r="I6">
        <v>0.85713711811303606</v>
      </c>
      <c r="J6">
        <v>1.2968343225874239</v>
      </c>
      <c r="K6">
        <v>1.8773885740646301</v>
      </c>
      <c r="L6">
        <v>2.6143482588726727</v>
      </c>
      <c r="M6">
        <v>3.5174213783000323</v>
      </c>
      <c r="N6">
        <v>4.5890316616212701</v>
      </c>
      <c r="O6">
        <v>5.8235567692418178</v>
      </c>
      <c r="P6">
        <v>7.2075351989035727</v>
      </c>
      <c r="Q6">
        <v>8.6898436349492965</v>
      </c>
      <c r="R6">
        <v>10.266128502575551</v>
      </c>
      <c r="S6">
        <v>11.880276810635714</v>
      </c>
      <c r="T6">
        <v>13.480652136059044</v>
      </c>
      <c r="U6">
        <v>15.01053432353538</v>
      </c>
      <c r="V6">
        <v>16.411355984456968</v>
      </c>
      <c r="W6">
        <v>17.627082662577738</v>
      </c>
      <c r="X6">
        <v>18.609298721491271</v>
      </c>
      <c r="Y6">
        <v>19.322035493759298</v>
      </c>
      <c r="Z6">
        <v>19.745217648493128</v>
      </c>
      <c r="AA6">
        <v>19.87594233037861</v>
      </c>
      <c r="AB6">
        <v>19.727445340934842</v>
      </c>
      <c r="AC6">
        <v>19.326214789565679</v>
      </c>
      <c r="AD6">
        <v>18.708048456541906</v>
      </c>
      <c r="AE6">
        <v>17.913879475618153</v>
      </c>
      <c r="AF6">
        <v>16.986008155570762</v>
      </c>
      <c r="AG6">
        <v>15.940745877502438</v>
      </c>
      <c r="AH6">
        <v>14.837453641107011</v>
      </c>
      <c r="AI6">
        <v>13.718817659455773</v>
      </c>
      <c r="AJ6">
        <v>12.609524019738044</v>
      </c>
      <c r="AK6">
        <v>11.52908486251442</v>
      </c>
    </row>
    <row r="7" spans="1:37" x14ac:dyDescent="0.2">
      <c r="A7" s="2" t="str">
        <v>Auto Sheet Ford High Mg</v>
      </c>
      <c r="B7" s="4" cm="1">
        <f t="array" ref="B7:AK7">'[1]Transport. LDVs (Liao)'!$AZ1002:$CI1002</f>
        <v>0</v>
      </c>
      <c r="C7" s="4">
        <v>1.0531193505715559E-2</v>
      </c>
      <c r="D7" s="4">
        <v>2.5135699097388151E-2</v>
      </c>
      <c r="E7" s="4">
        <v>5.6573499069069826E-2</v>
      </c>
      <c r="F7" s="4">
        <v>0.11124359683231619</v>
      </c>
      <c r="G7" s="4">
        <v>0.19985924636965344</v>
      </c>
      <c r="H7">
        <v>0.33695003989119993</v>
      </c>
      <c r="I7">
        <v>0.53625228540208103</v>
      </c>
      <c r="J7">
        <v>0.81153974642986504</v>
      </c>
      <c r="K7">
        <v>1.1752175148778627</v>
      </c>
      <c r="L7">
        <v>1.6371687187241117</v>
      </c>
      <c r="M7">
        <v>2.2036293902237323</v>
      </c>
      <c r="N7">
        <v>2.8762537912088906</v>
      </c>
      <c r="O7">
        <v>3.6516101106935488</v>
      </c>
      <c r="P7">
        <v>4.5212940233544572</v>
      </c>
      <c r="Q7">
        <v>5.453274663682909</v>
      </c>
      <c r="R7">
        <v>6.4447099908238199</v>
      </c>
      <c r="S7">
        <v>7.460335314056203</v>
      </c>
      <c r="T7">
        <v>8.4676414322069018</v>
      </c>
      <c r="U7">
        <v>9.4308955645546995</v>
      </c>
      <c r="V7">
        <v>10.313167066613822</v>
      </c>
      <c r="W7">
        <v>11.079081360615429</v>
      </c>
      <c r="X7">
        <v>11.698033721947116</v>
      </c>
      <c r="Y7">
        <v>12.147253988079667</v>
      </c>
      <c r="Z7">
        <v>12.414004335860961</v>
      </c>
      <c r="AA7">
        <v>12.496404552962705</v>
      </c>
      <c r="AB7">
        <v>12.402787060499781</v>
      </c>
      <c r="AC7">
        <v>12.149872205293395</v>
      </c>
      <c r="AD7">
        <v>11.760270204859513</v>
      </c>
      <c r="AE7">
        <v>11.259835061861317</v>
      </c>
      <c r="AF7">
        <v>10.675276769272427</v>
      </c>
      <c r="AG7">
        <v>10.01695712699355</v>
      </c>
      <c r="AH7">
        <v>9.3222699248324972</v>
      </c>
      <c r="AI7">
        <v>8.6180981662125564</v>
      </c>
      <c r="AJ7">
        <v>7.9199882172114275</v>
      </c>
      <c r="AK7">
        <v>7.2402148102914188</v>
      </c>
    </row>
    <row r="8" spans="1:37" x14ac:dyDescent="0.2">
      <c r="A8" s="2" t="str">
        <v>Auto Sheet 6xxx 6005C</v>
      </c>
      <c r="B8" s="4" cm="1">
        <f t="array" ref="B8:AK8">0.5 * '[1]Transport. LDVs (Liao)'!$AZ1003:$CI1003</f>
        <v>36.054949167774843</v>
      </c>
      <c r="C8">
        <v>36.62059226258031</v>
      </c>
      <c r="D8">
        <v>36.942894216378761</v>
      </c>
      <c r="E8">
        <v>37.036405518315718</v>
      </c>
      <c r="F8">
        <v>36.995069851127184</v>
      </c>
      <c r="G8">
        <v>36.935129730076667</v>
      </c>
      <c r="H8">
        <v>36.9816826297209</v>
      </c>
      <c r="I8">
        <v>37.263781547950821</v>
      </c>
      <c r="J8">
        <v>37.877583269494409</v>
      </c>
      <c r="K8">
        <v>38.863944170571457</v>
      </c>
      <c r="L8">
        <v>40.196477342291196</v>
      </c>
      <c r="M8">
        <v>41.78460769640833</v>
      </c>
      <c r="N8">
        <v>43.491533423215273</v>
      </c>
      <c r="O8">
        <v>45.161573802948482</v>
      </c>
      <c r="P8">
        <v>46.648384902211831</v>
      </c>
      <c r="Q8">
        <v>47.81195582176457</v>
      </c>
      <c r="R8">
        <v>48.597665459482087</v>
      </c>
      <c r="S8">
        <v>48.956661971045321</v>
      </c>
      <c r="T8">
        <v>48.889238104132758</v>
      </c>
      <c r="U8">
        <v>48.43532842080549</v>
      </c>
      <c r="V8">
        <v>47.67390220909661</v>
      </c>
      <c r="W8">
        <v>46.719670306585009</v>
      </c>
      <c r="X8">
        <v>45.714330175381512</v>
      </c>
      <c r="Y8">
        <v>44.811189818272609</v>
      </c>
      <c r="Z8">
        <v>44.155454525688668</v>
      </c>
      <c r="AA8">
        <v>43.864876878698595</v>
      </c>
      <c r="AB8">
        <v>44.015495203629513</v>
      </c>
      <c r="AC8">
        <v>44.635319613486985</v>
      </c>
      <c r="AD8">
        <v>45.706316851291419</v>
      </c>
      <c r="AE8">
        <v>47.172971625842138</v>
      </c>
      <c r="AF8">
        <v>48.95461169598542</v>
      </c>
      <c r="AG8">
        <v>51.131605246467728</v>
      </c>
      <c r="AH8">
        <v>53.496267250759132</v>
      </c>
      <c r="AI8">
        <v>55.885026403300174</v>
      </c>
      <c r="AJ8">
        <v>58.229909040825362</v>
      </c>
      <c r="AK8">
        <v>60.479801204188163</v>
      </c>
    </row>
    <row r="9" spans="1:37" x14ac:dyDescent="0.2">
      <c r="A9" s="2" t="str">
        <v>Auto Sheet 6xxx 6016</v>
      </c>
      <c r="B9" cm="1">
        <f t="array" ref="B9:AK9">0.5 * '[1]Transport. LDVs (Liao)'!$AZ1003:$CI1003</f>
        <v>36.054949167774843</v>
      </c>
      <c r="C9">
        <v>36.62059226258031</v>
      </c>
      <c r="D9">
        <v>36.942894216378761</v>
      </c>
      <c r="E9">
        <v>37.036405518315718</v>
      </c>
      <c r="F9">
        <v>36.995069851127184</v>
      </c>
      <c r="G9">
        <v>36.935129730076667</v>
      </c>
      <c r="H9">
        <v>36.9816826297209</v>
      </c>
      <c r="I9">
        <v>37.263781547950821</v>
      </c>
      <c r="J9">
        <v>37.877583269494409</v>
      </c>
      <c r="K9">
        <v>38.863944170571457</v>
      </c>
      <c r="L9">
        <v>40.196477342291196</v>
      </c>
      <c r="M9">
        <v>41.78460769640833</v>
      </c>
      <c r="N9">
        <v>43.491533423215273</v>
      </c>
      <c r="O9">
        <v>45.161573802948482</v>
      </c>
      <c r="P9">
        <v>46.648384902211831</v>
      </c>
      <c r="Q9">
        <v>47.81195582176457</v>
      </c>
      <c r="R9">
        <v>48.597665459482087</v>
      </c>
      <c r="S9">
        <v>48.956661971045321</v>
      </c>
      <c r="T9">
        <v>48.889238104132758</v>
      </c>
      <c r="U9">
        <v>48.43532842080549</v>
      </c>
      <c r="V9">
        <v>47.67390220909661</v>
      </c>
      <c r="W9">
        <v>46.719670306585009</v>
      </c>
      <c r="X9">
        <v>45.714330175381512</v>
      </c>
      <c r="Y9">
        <v>44.811189818272609</v>
      </c>
      <c r="Z9">
        <v>44.155454525688668</v>
      </c>
      <c r="AA9">
        <v>43.864876878698595</v>
      </c>
      <c r="AB9">
        <v>44.015495203629513</v>
      </c>
      <c r="AC9">
        <v>44.635319613486985</v>
      </c>
      <c r="AD9">
        <v>45.706316851291419</v>
      </c>
      <c r="AE9">
        <v>47.172971625842138</v>
      </c>
      <c r="AF9">
        <v>48.95461169598542</v>
      </c>
      <c r="AG9">
        <v>51.131605246467728</v>
      </c>
      <c r="AH9">
        <v>53.496267250759132</v>
      </c>
      <c r="AI9">
        <v>55.885026403300174</v>
      </c>
      <c r="AJ9">
        <v>58.229909040825362</v>
      </c>
      <c r="AK9">
        <v>60.479801204188163</v>
      </c>
    </row>
    <row r="10" spans="1:37" x14ac:dyDescent="0.2">
      <c r="A10" s="2" t="str">
        <v>Auto Sheet Ford Low Cu</v>
      </c>
      <c r="B10" cm="1">
        <f t="array" ref="B10:AK10">'[1]Transport. LDVs (Liao)'!$AZ1004:$CI1004</f>
        <v>0</v>
      </c>
      <c r="C10">
        <v>4.9501955260370378E-2</v>
      </c>
      <c r="D10">
        <v>0.118150544995851</v>
      </c>
      <c r="E10">
        <v>0.26586745521795535</v>
      </c>
      <c r="F10">
        <v>0.52259125592622957</v>
      </c>
      <c r="G10">
        <v>0.93814040203832527</v>
      </c>
      <c r="H10">
        <v>1.5793475854144352</v>
      </c>
      <c r="I10">
        <v>2.5076083042689183</v>
      </c>
      <c r="J10">
        <v>3.7820216610910018</v>
      </c>
      <c r="K10">
        <v>5.4525615187224128</v>
      </c>
      <c r="L10">
        <v>7.555369917283751</v>
      </c>
      <c r="M10">
        <v>10.109091844960398</v>
      </c>
      <c r="N10">
        <v>13.112533455337749</v>
      </c>
      <c r="O10">
        <v>16.544097401555444</v>
      </c>
      <c r="P10">
        <v>20.363342697589918</v>
      </c>
      <c r="Q10">
        <v>24.565014470212382</v>
      </c>
      <c r="R10">
        <v>29.050018287256606</v>
      </c>
      <c r="S10">
        <v>33.79487314323913</v>
      </c>
      <c r="T10">
        <v>38.769130717823444</v>
      </c>
      <c r="U10">
        <v>43.958126245887868</v>
      </c>
      <c r="V10">
        <v>49.362752779244822</v>
      </c>
      <c r="W10">
        <v>54.995153590115606</v>
      </c>
      <c r="X10">
        <v>60.871350804233153</v>
      </c>
      <c r="Y10">
        <v>67.002852397495417</v>
      </c>
      <c r="Z10">
        <v>73.389570422852813</v>
      </c>
      <c r="AA10">
        <v>80.015767047915858</v>
      </c>
      <c r="AB10">
        <v>86.849597934918663</v>
      </c>
      <c r="AC10">
        <v>93.845728133992381</v>
      </c>
      <c r="AD10">
        <v>100.94985372392854</v>
      </c>
      <c r="AE10">
        <v>108.10385093726171</v>
      </c>
      <c r="AF10">
        <v>115.25053119499515</v>
      </c>
      <c r="AG10">
        <v>122.15067495415612</v>
      </c>
      <c r="AH10">
        <v>128.87866649471965</v>
      </c>
      <c r="AI10">
        <v>135.48372114496962</v>
      </c>
      <c r="AJ10">
        <v>141.93695513135253</v>
      </c>
      <c r="AK10">
        <v>148.21781683651909</v>
      </c>
    </row>
    <row r="11" spans="1:37" x14ac:dyDescent="0.2">
      <c r="A11" s="2" t="str">
        <v>Auto Sheet Ford High Cu</v>
      </c>
      <c r="B11" cm="1">
        <f t="array" ref="B11:AK11">'[1]Transport. LDVs (Liao)'!$AZ1005:$CI1005</f>
        <v>0</v>
      </c>
      <c r="C11">
        <v>5.0891858971780744E-2</v>
      </c>
      <c r="D11">
        <v>0.12146794690717813</v>
      </c>
      <c r="E11">
        <v>0.27340153071600859</v>
      </c>
      <c r="F11">
        <v>0.53764241058391704</v>
      </c>
      <c r="G11">
        <v>0.96606509247519579</v>
      </c>
      <c r="H11">
        <v>1.6291627919417593</v>
      </c>
      <c r="I11">
        <v>2.5939209781159653</v>
      </c>
      <c r="J11">
        <v>3.9279776295917093</v>
      </c>
      <c r="K11">
        <v>5.6928699703350922</v>
      </c>
      <c r="L11">
        <v>7.9383249461194652</v>
      </c>
      <c r="M11">
        <v>10.696512439515836</v>
      </c>
      <c r="N11">
        <v>13.977137206832083</v>
      </c>
      <c r="O11">
        <v>17.764657468509188</v>
      </c>
      <c r="P11">
        <v>22.018638002152048</v>
      </c>
      <c r="Q11">
        <v>26.677384256155424</v>
      </c>
      <c r="R11">
        <v>31.664073109344017</v>
      </c>
      <c r="S11">
        <v>36.894041410068944</v>
      </c>
      <c r="T11">
        <v>42.281865717910613</v>
      </c>
      <c r="U11">
        <v>47.747221040022048</v>
      </c>
      <c r="V11">
        <v>53.219011099684408</v>
      </c>
      <c r="W11">
        <v>58.637711776691248</v>
      </c>
      <c r="X11">
        <v>63.956171442328476</v>
      </c>
      <c r="Y11">
        <v>69.139251270665667</v>
      </c>
      <c r="Z11">
        <v>74.162708792793069</v>
      </c>
      <c r="AA11">
        <v>79.011673808742827</v>
      </c>
      <c r="AB11">
        <v>83.678982213646719</v>
      </c>
      <c r="AC11">
        <v>88.163549581148544</v>
      </c>
      <c r="AD11">
        <v>92.468891784670021</v>
      </c>
      <c r="AE11">
        <v>96.601847085258797</v>
      </c>
      <c r="AF11">
        <v>100.57151471016167</v>
      </c>
      <c r="AG11">
        <v>104.22908393134784</v>
      </c>
      <c r="AH11">
        <v>107.69571835934083</v>
      </c>
      <c r="AI11">
        <v>111.05567325936207</v>
      </c>
      <c r="AJ11">
        <v>114.31751266169798</v>
      </c>
      <c r="AK11">
        <v>117.4896371606751</v>
      </c>
    </row>
    <row r="12" spans="1:37" x14ac:dyDescent="0.2">
      <c r="A12" s="2" t="s">
        <v>4</v>
      </c>
      <c r="B12" cm="1">
        <f t="array" ref="B12:AK12">'[1]Transport. LDVs (Liao)'!$AZ1006:$CI1006</f>
        <v>2.4694688663207511</v>
      </c>
      <c r="C12">
        <v>2.5117920511906022</v>
      </c>
      <c r="D12">
        <v>2.5387914316127271</v>
      </c>
      <c r="E12">
        <v>2.5556215055933187</v>
      </c>
      <c r="F12">
        <v>2.5707954711139926</v>
      </c>
      <c r="G12">
        <v>2.5957519031976943</v>
      </c>
      <c r="H12">
        <v>2.6437588427333369</v>
      </c>
      <c r="I12">
        <v>2.7280523956742351</v>
      </c>
      <c r="J12">
        <v>2.8595613453915711</v>
      </c>
      <c r="K12">
        <v>3.0449062930704529</v>
      </c>
      <c r="L12">
        <v>3.2852241721682791</v>
      </c>
      <c r="M12">
        <v>3.5760539017667767</v>
      </c>
      <c r="N12">
        <v>3.9083180365821892</v>
      </c>
      <c r="O12">
        <v>4.2700819248656652</v>
      </c>
      <c r="P12">
        <v>4.6485520569993266</v>
      </c>
      <c r="Q12">
        <v>5.031845194829633</v>
      </c>
      <c r="R12">
        <v>5.4101932985338124</v>
      </c>
      <c r="S12">
        <v>5.7764745162919624</v>
      </c>
      <c r="T12">
        <v>6.1262159014671376</v>
      </c>
      <c r="U12">
        <v>6.4573002455277919</v>
      </c>
      <c r="V12">
        <v>6.7695403089175281</v>
      </c>
      <c r="W12">
        <v>7.0641961848503891</v>
      </c>
      <c r="X12">
        <v>7.3434740159030962</v>
      </c>
      <c r="Y12">
        <v>7.6100449908089498</v>
      </c>
      <c r="Z12">
        <v>7.8666295786903646</v>
      </c>
      <c r="AA12">
        <v>8.1156849479133903</v>
      </c>
      <c r="AB12">
        <v>8.3592139754655719</v>
      </c>
      <c r="AC12">
        <v>8.5986910601497843</v>
      </c>
      <c r="AD12">
        <v>8.8350818070348112</v>
      </c>
      <c r="AE12">
        <v>9.0689245908265619</v>
      </c>
      <c r="AF12">
        <v>9.3004418225562873</v>
      </c>
      <c r="AG12">
        <v>9.5296546147009238</v>
      </c>
      <c r="AH12">
        <v>9.756483112295788</v>
      </c>
      <c r="AI12">
        <v>9.9808233605695094</v>
      </c>
      <c r="AJ12">
        <v>10.202598488778689</v>
      </c>
      <c r="AK12">
        <v>10.4217866112858</v>
      </c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52D3-01D8-BA4E-A583-6345B23ED41A}">
  <dimension ref="A1:AK3"/>
  <sheetViews>
    <sheetView workbookViewId="0">
      <selection activeCell="B4" sqref="B4"/>
    </sheetView>
  </sheetViews>
  <sheetFormatPr baseColWidth="10" defaultRowHeight="15" x14ac:dyDescent="0.2"/>
  <cols>
    <col min="1" max="1" width="16.5" style="7" bestFit="1" customWidth="1"/>
    <col min="2" max="16384" width="10.83203125" style="7"/>
  </cols>
  <sheetData>
    <row r="1" spans="1:37" x14ac:dyDescent="0.2">
      <c r="A1" s="6" t="s">
        <v>0</v>
      </c>
      <c r="B1" s="6">
        <v>2015</v>
      </c>
      <c r="C1" s="6">
        <v>2016</v>
      </c>
      <c r="D1" s="6">
        <v>2017</v>
      </c>
      <c r="E1" s="6">
        <v>2018</v>
      </c>
      <c r="F1" s="6">
        <v>2019</v>
      </c>
      <c r="G1" s="6">
        <v>2020</v>
      </c>
      <c r="H1" s="6">
        <v>2021</v>
      </c>
      <c r="I1" s="6">
        <v>2022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2">
      <c r="A2" s="8" t="s">
        <v>5</v>
      </c>
      <c r="B2" s="7" cm="1">
        <f t="array" ref="B2:AK2">'[1]Transport. LDVs (Liao)'!$AZ1013:$CI1013</f>
        <v>66.714224161596576</v>
      </c>
      <c r="C2" s="7">
        <v>69.085386309437595</v>
      </c>
      <c r="D2" s="7">
        <v>71.094590767109679</v>
      </c>
      <c r="E2" s="7">
        <v>72.837932496077613</v>
      </c>
      <c r="F2" s="7">
        <v>74.47271200036667</v>
      </c>
      <c r="G2" s="7">
        <v>76.196202777786951</v>
      </c>
      <c r="H2" s="7">
        <v>78.213280813629609</v>
      </c>
      <c r="I2" s="7">
        <v>80.697093817274208</v>
      </c>
      <c r="J2" s="7">
        <v>83.75343663944426</v>
      </c>
      <c r="K2" s="7">
        <v>87.400593382608747</v>
      </c>
      <c r="L2" s="7">
        <v>91.570607740490189</v>
      </c>
      <c r="M2" s="7">
        <v>96.129581671528399</v>
      </c>
      <c r="N2" s="7">
        <v>100.91100943221645</v>
      </c>
      <c r="O2" s="7">
        <v>105.75254037434956</v>
      </c>
      <c r="P2" s="7">
        <v>110.5262806137263</v>
      </c>
      <c r="Q2" s="7">
        <v>115.15689851021871</v>
      </c>
      <c r="R2" s="7">
        <v>119.625489769723</v>
      </c>
      <c r="S2" s="7">
        <v>123.96119109690221</v>
      </c>
      <c r="T2" s="7">
        <v>128.2263183242203</v>
      </c>
      <c r="U2" s="7">
        <v>132.50097757523389</v>
      </c>
      <c r="V2" s="7">
        <v>136.87036660927546</v>
      </c>
      <c r="W2" s="7">
        <v>141.41534538553356</v>
      </c>
      <c r="X2" s="7">
        <v>146.20571493074345</v>
      </c>
      <c r="Y2" s="7">
        <v>151.29565518464642</v>
      </c>
      <c r="Z2" s="7">
        <v>156.72111750691599</v>
      </c>
      <c r="AA2" s="7">
        <v>162.49914215637193</v>
      </c>
      <c r="AB2" s="7">
        <v>168.628984636371</v>
      </c>
      <c r="AC2" s="7">
        <v>175.09472141551549</v>
      </c>
      <c r="AD2" s="7">
        <v>181.86882038671047</v>
      </c>
      <c r="AE2" s="7">
        <v>188.91609245827289</v>
      </c>
      <c r="AF2" s="7">
        <v>196.1974962848787</v>
      </c>
      <c r="AG2" s="7">
        <v>203.67340788167309</v>
      </c>
      <c r="AH2" s="7">
        <v>211.3061383307836</v>
      </c>
      <c r="AI2" s="7">
        <v>219.06163914859388</v>
      </c>
      <c r="AJ2" s="7">
        <v>226.9104567536011</v>
      </c>
      <c r="AK2" s="7">
        <v>234.82806472665169</v>
      </c>
    </row>
    <row r="3" spans="1:37" x14ac:dyDescent="0.2">
      <c r="A3" s="8" t="s">
        <v>6</v>
      </c>
      <c r="B3" s="7" cm="1">
        <f t="array" ref="B3:AK3">'[1]Transport. LDVs (Liao)'!$AZ1014:$CI1014</f>
        <v>24.675794320781343</v>
      </c>
      <c r="C3" s="7">
        <v>25.552738624631321</v>
      </c>
      <c r="D3" s="7">
        <v>26.295822700570501</v>
      </c>
      <c r="E3" s="7">
        <v>26.94058720878192</v>
      </c>
      <c r="F3" s="7">
        <v>27.545209241382068</v>
      </c>
      <c r="G3" s="7">
        <v>28.182649410356809</v>
      </c>
      <c r="H3" s="7">
        <v>28.92867968229276</v>
      </c>
      <c r="I3" s="7">
        <v>29.84733658846983</v>
      </c>
      <c r="J3" s="7">
        <v>30.977745340747408</v>
      </c>
      <c r="K3" s="7">
        <v>32.32666500661724</v>
      </c>
      <c r="L3" s="7">
        <v>33.868958718149507</v>
      </c>
      <c r="M3" s="7">
        <v>35.555101006787588</v>
      </c>
      <c r="N3" s="7">
        <v>37.323506361080476</v>
      </c>
      <c r="O3" s="7">
        <v>39.114126498490734</v>
      </c>
      <c r="P3" s="7">
        <v>40.87965868597626</v>
      </c>
      <c r="Q3" s="7">
        <v>42.59224307059668</v>
      </c>
      <c r="R3" s="7">
        <v>44.244892171942595</v>
      </c>
      <c r="S3" s="7">
        <v>45.848388475626763</v>
      </c>
      <c r="T3" s="7">
        <v>47.42578664900136</v>
      </c>
      <c r="U3" s="7">
        <v>49.006720895381306</v>
      </c>
      <c r="V3" s="7">
        <v>50.622707494932627</v>
      </c>
      <c r="W3" s="7">
        <v>52.30365682023772</v>
      </c>
      <c r="X3" s="7">
        <v>54.075387313408385</v>
      </c>
      <c r="Y3" s="7">
        <v>55.957938233453021</v>
      </c>
      <c r="Z3" s="7">
        <v>57.964605506336</v>
      </c>
      <c r="AA3" s="7">
        <v>60.101689614992992</v>
      </c>
      <c r="AB3" s="7">
        <v>62.368912546771277</v>
      </c>
      <c r="AC3" s="7">
        <v>64.760381852624477</v>
      </c>
      <c r="AD3" s="7">
        <v>67.265911488170019</v>
      </c>
      <c r="AE3" s="7">
        <v>69.872483553656707</v>
      </c>
      <c r="AF3" s="7">
        <v>72.565655660949687</v>
      </c>
      <c r="AG3" s="7">
        <v>75.330770296282793</v>
      </c>
      <c r="AH3" s="7">
        <v>78.153885996497934</v>
      </c>
      <c r="AI3" s="7">
        <v>81.022408267693152</v>
      </c>
      <c r="AJ3" s="7">
        <v>83.925442311719436</v>
      </c>
      <c r="AK3" s="7">
        <v>86.853916130448908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64D8-71D0-844E-BAFE-B9712E7ADDA3}">
  <dimension ref="A1:AK3"/>
  <sheetViews>
    <sheetView workbookViewId="0">
      <selection activeCell="B3" sqref="B3"/>
    </sheetView>
  </sheetViews>
  <sheetFormatPr baseColWidth="10" defaultRowHeight="15" x14ac:dyDescent="0.2"/>
  <cols>
    <col min="1" max="1" width="15.5" style="7" bestFit="1" customWidth="1"/>
    <col min="2" max="16384" width="10.83203125" style="7"/>
  </cols>
  <sheetData>
    <row r="1" spans="1:37" x14ac:dyDescent="0.2">
      <c r="A1" s="6" t="s">
        <v>0</v>
      </c>
      <c r="B1" s="6">
        <v>2015</v>
      </c>
      <c r="C1" s="6">
        <v>2016</v>
      </c>
      <c r="D1" s="6">
        <v>2017</v>
      </c>
      <c r="E1" s="6">
        <v>2018</v>
      </c>
      <c r="F1" s="6">
        <v>2019</v>
      </c>
      <c r="G1" s="6">
        <v>2020</v>
      </c>
      <c r="H1" s="6">
        <v>2021</v>
      </c>
      <c r="I1" s="6">
        <v>2022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2">
      <c r="A2" s="8" t="s">
        <v>7</v>
      </c>
      <c r="B2" s="7" cm="1">
        <f t="array" ref="B2:AK2">'[1]Transport. LDVs (Liao)'!$AZ1019:$CI1019</f>
        <v>25.575323057585102</v>
      </c>
      <c r="C2" s="7">
        <v>26.11957654361666</v>
      </c>
      <c r="D2" s="7">
        <v>26.406749483445729</v>
      </c>
      <c r="E2" s="7">
        <v>26.46366596208405</v>
      </c>
      <c r="F2" s="7">
        <v>26.341155256900379</v>
      </c>
      <c r="G2" s="7">
        <v>26.106193767041241</v>
      </c>
      <c r="H2" s="7">
        <v>25.830788385578181</v>
      </c>
      <c r="I2" s="7">
        <v>25.58002205987448</v>
      </c>
      <c r="J2" s="7">
        <v>25.40234832962815</v>
      </c>
      <c r="K2" s="7">
        <v>25.32464710411756</v>
      </c>
      <c r="L2" s="7">
        <v>25.352741627042512</v>
      </c>
      <c r="M2" s="7">
        <v>25.476215523212371</v>
      </c>
      <c r="N2" s="7">
        <v>25.67581200718541</v>
      </c>
      <c r="O2" s="7">
        <v>25.931235293611529</v>
      </c>
      <c r="P2" s="7">
        <v>26.22733782484292</v>
      </c>
      <c r="Q2" s="7">
        <v>26.557639295900017</v>
      </c>
      <c r="R2" s="7">
        <v>26.924900896422599</v>
      </c>
      <c r="S2" s="7">
        <v>27.339275526737659</v>
      </c>
      <c r="T2" s="7">
        <v>27.815286278086329</v>
      </c>
      <c r="U2" s="7">
        <v>28.368867232196649</v>
      </c>
      <c r="V2" s="7">
        <v>29.015093821318871</v>
      </c>
      <c r="W2" s="7">
        <v>29.766663503044519</v>
      </c>
      <c r="X2" s="7">
        <v>30.63295082293461</v>
      </c>
      <c r="Y2" s="7">
        <v>31.619476842377843</v>
      </c>
      <c r="Z2" s="7">
        <v>32.727722053549385</v>
      </c>
      <c r="AA2" s="7">
        <v>33.955264345208874</v>
      </c>
      <c r="AB2" s="7">
        <v>35.296218330589625</v>
      </c>
      <c r="AC2" s="7">
        <v>36.741915121977556</v>
      </c>
      <c r="AD2" s="7">
        <v>38.281727072756581</v>
      </c>
      <c r="AE2" s="7">
        <v>39.903928506399161</v>
      </c>
      <c r="AF2" s="7">
        <v>41.596493933943741</v>
      </c>
      <c r="AG2" s="7">
        <v>43.347762777098019</v>
      </c>
      <c r="AH2" s="7">
        <v>45.146933411613972</v>
      </c>
      <c r="AI2" s="7">
        <v>46.984379870067414</v>
      </c>
      <c r="AJ2" s="7">
        <v>48.851808202955795</v>
      </c>
      <c r="AK2" s="7">
        <v>50.742282773176058</v>
      </c>
    </row>
    <row r="3" spans="1:37" x14ac:dyDescent="0.2">
      <c r="A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20BE-8EB1-0E4B-8EF0-703E51BF6A45}">
  <dimension ref="A1:AK4"/>
  <sheetViews>
    <sheetView workbookViewId="0">
      <selection activeCell="B5" sqref="B5"/>
    </sheetView>
  </sheetViews>
  <sheetFormatPr baseColWidth="10" defaultRowHeight="15" x14ac:dyDescent="0.2"/>
  <cols>
    <col min="1" max="1" width="16" style="7" bestFit="1" customWidth="1"/>
    <col min="2" max="16384" width="10.83203125" style="7"/>
  </cols>
  <sheetData>
    <row r="1" spans="1:37" x14ac:dyDescent="0.2">
      <c r="A1" s="6" t="s">
        <v>0</v>
      </c>
      <c r="B1" s="6">
        <v>2015</v>
      </c>
      <c r="C1" s="6">
        <v>2016</v>
      </c>
      <c r="D1" s="6">
        <v>2017</v>
      </c>
      <c r="E1" s="6">
        <v>2018</v>
      </c>
      <c r="F1" s="6">
        <v>2019</v>
      </c>
      <c r="G1" s="6">
        <v>2020</v>
      </c>
      <c r="H1" s="6">
        <v>2021</v>
      </c>
      <c r="I1" s="6">
        <v>2022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2">
      <c r="A2" s="9" t="s">
        <v>8</v>
      </c>
      <c r="B2" s="7" cm="1">
        <f t="array" ref="B2:AK2">'[1]Transport. LDVs (Liao)'!$AZ993:$CI993</f>
        <v>156.94579810235911</v>
      </c>
      <c r="C2" s="7">
        <v>159.57889884192923</v>
      </c>
      <c r="D2" s="7">
        <v>160.74825228304857</v>
      </c>
      <c r="E2" s="7">
        <v>160.67368451774306</v>
      </c>
      <c r="F2" s="7">
        <v>159.70147383689667</v>
      </c>
      <c r="G2" s="7">
        <v>158.24854250262811</v>
      </c>
      <c r="H2" s="7">
        <v>156.73241800501904</v>
      </c>
      <c r="I2" s="7">
        <v>155.50033228241733</v>
      </c>
      <c r="J2" s="7">
        <v>154.77442840866533</v>
      </c>
      <c r="K2" s="7">
        <v>154.62731686797127</v>
      </c>
      <c r="L2" s="7">
        <v>154.99173402483575</v>
      </c>
      <c r="M2" s="7">
        <v>155.69716466268338</v>
      </c>
      <c r="N2" s="7">
        <v>156.52178743474536</v>
      </c>
      <c r="O2" s="7">
        <v>157.24556180687881</v>
      </c>
      <c r="P2" s="7">
        <v>157.69204887770474</v>
      </c>
      <c r="Q2" s="7">
        <v>157.75263358799828</v>
      </c>
      <c r="R2" s="7">
        <v>157.39206927076995</v>
      </c>
      <c r="S2" s="7">
        <v>156.63880904401577</v>
      </c>
      <c r="T2" s="7">
        <v>155.56697178248629</v>
      </c>
      <c r="U2" s="7">
        <v>154.2767170316182</v>
      </c>
      <c r="V2" s="7">
        <v>152.87715525878937</v>
      </c>
      <c r="W2" s="7">
        <v>151.4732440738421</v>
      </c>
      <c r="X2" s="7">
        <v>150.15665209718165</v>
      </c>
      <c r="Y2" s="7">
        <v>149.00012802331594</v>
      </c>
      <c r="Z2" s="7">
        <v>148.05489645589444</v>
      </c>
      <c r="AA2" s="7">
        <v>147.35061244449588</v>
      </c>
      <c r="AB2" s="7">
        <v>146.89733872627522</v>
      </c>
      <c r="AC2" s="7">
        <v>146.68891760329376</v>
      </c>
      <c r="AD2" s="7">
        <v>146.7070716825653</v>
      </c>
      <c r="AE2" s="7">
        <v>146.92562089676193</v>
      </c>
      <c r="AF2" s="7">
        <v>147.31433381957652</v>
      </c>
      <c r="AG2" s="7">
        <v>147.84210351338771</v>
      </c>
      <c r="AH2" s="7">
        <v>148.47930830129906</v>
      </c>
      <c r="AI2" s="7">
        <v>149.19935886459626</v>
      </c>
      <c r="AJ2" s="7">
        <v>149.97952850554833</v>
      </c>
      <c r="AK2" s="7">
        <v>150.80121486190609</v>
      </c>
    </row>
    <row r="3" spans="1:37" x14ac:dyDescent="0.2">
      <c r="A3" s="9" t="s">
        <v>9</v>
      </c>
      <c r="B3" s="7" cm="1">
        <f t="array" ref="B3:AK3">'[1]Transport. LDVs (Liao)'!$AZ994:$CI994</f>
        <v>313.8917187309064</v>
      </c>
      <c r="C3" s="7">
        <v>319.1582222650685</v>
      </c>
      <c r="D3" s="7">
        <v>321.49719836720311</v>
      </c>
      <c r="E3" s="7">
        <v>321.3483017937794</v>
      </c>
      <c r="F3" s="7">
        <v>319.40409425211362</v>
      </c>
      <c r="G3" s="7">
        <v>316.49842555973839</v>
      </c>
      <c r="H3" s="7">
        <v>313.46635339151123</v>
      </c>
      <c r="I3" s="7">
        <v>311.00234194490463</v>
      </c>
      <c r="J3" s="7">
        <v>309.5506757642861</v>
      </c>
      <c r="K3" s="7">
        <v>309.25657229274901</v>
      </c>
      <c r="L3" s="7">
        <v>309.98550027330282</v>
      </c>
      <c r="M3" s="7">
        <v>311.39642494964244</v>
      </c>
      <c r="N3" s="7">
        <v>313.04569995287841</v>
      </c>
      <c r="O3" s="7">
        <v>314.49324220051989</v>
      </c>
      <c r="P3" s="7">
        <v>315.38617426354381</v>
      </c>
      <c r="Q3" s="7">
        <v>315.5072693274069</v>
      </c>
      <c r="R3" s="7">
        <v>314.78603945385521</v>
      </c>
      <c r="S3" s="7">
        <v>313.27939760938801</v>
      </c>
      <c r="T3" s="7">
        <v>311.13558868890209</v>
      </c>
      <c r="U3" s="7">
        <v>308.55493813184023</v>
      </c>
      <c r="V3" s="7">
        <v>305.75567214624914</v>
      </c>
      <c r="W3" s="7">
        <v>302.94771021668652</v>
      </c>
      <c r="X3" s="7">
        <v>300.31439240267281</v>
      </c>
      <c r="Y3" s="7">
        <v>298.00121797941006</v>
      </c>
      <c r="Z3" s="7">
        <v>296.11063729424052</v>
      </c>
      <c r="AA3" s="7">
        <v>294.70196115763736</v>
      </c>
      <c r="AB3" s="7">
        <v>293.79531514456687</v>
      </c>
      <c r="AC3" s="7">
        <v>293.37838405679884</v>
      </c>
      <c r="AD3" s="7">
        <v>293.4146127370517</v>
      </c>
      <c r="AE3" s="7">
        <v>293.85164066771165</v>
      </c>
      <c r="AF3" s="7">
        <v>294.62900455500062</v>
      </c>
      <c r="AG3" s="7">
        <v>295.68448998173432</v>
      </c>
      <c r="AH3" s="7">
        <v>296.95885289625755</v>
      </c>
      <c r="AI3" s="7">
        <v>298.39891396000087</v>
      </c>
      <c r="AJ3" s="7">
        <v>299.95921917212769</v>
      </c>
      <c r="AK3" s="7">
        <v>301.60256314192912</v>
      </c>
    </row>
    <row r="4" spans="1:37" x14ac:dyDescent="0.2">
      <c r="A4" s="8" t="s">
        <v>10</v>
      </c>
      <c r="B4" s="7" cm="1">
        <f t="array" ref="B4:AK4">'[1]Transport. LDVs (Liao)'!$AZ995:$CI995</f>
        <v>650.20345697589062</v>
      </c>
      <c r="C4" s="7">
        <v>661.11245983066874</v>
      </c>
      <c r="D4" s="7">
        <v>665.95732613976088</v>
      </c>
      <c r="E4" s="7">
        <v>665.6487695547271</v>
      </c>
      <c r="F4" s="7">
        <v>661.62138242161586</v>
      </c>
      <c r="G4" s="7">
        <v>655.60242290020301</v>
      </c>
      <c r="H4" s="7">
        <v>649.32165109502353</v>
      </c>
      <c r="I4" s="7">
        <v>644.21759984445373</v>
      </c>
      <c r="J4" s="7">
        <v>641.21057574381939</v>
      </c>
      <c r="K4" s="7">
        <v>640.60139377655855</v>
      </c>
      <c r="L4" s="7">
        <v>642.11138944687514</v>
      </c>
      <c r="M4" s="7">
        <v>645.03414124225355</v>
      </c>
      <c r="N4" s="7">
        <v>648.45067385313405</v>
      </c>
      <c r="O4" s="7">
        <v>651.44938945109118</v>
      </c>
      <c r="P4" s="7">
        <v>653.29932395364494</v>
      </c>
      <c r="Q4" s="7">
        <v>653.55049617631289</v>
      </c>
      <c r="R4" s="7">
        <v>652.05687811744156</v>
      </c>
      <c r="S4" s="7">
        <v>648.93634074950864</v>
      </c>
      <c r="T4" s="7">
        <v>644.49594244531886</v>
      </c>
      <c r="U4" s="7">
        <v>639.1506256742548</v>
      </c>
      <c r="V4" s="7">
        <v>633.35241726425897</v>
      </c>
      <c r="W4" s="7">
        <v>627.5361415941793</v>
      </c>
      <c r="X4" s="7">
        <v>622.08157102024768</v>
      </c>
      <c r="Y4" s="7">
        <v>617.29009753529078</v>
      </c>
      <c r="Z4" s="7">
        <v>613.37394324033983</v>
      </c>
      <c r="AA4" s="7">
        <v>610.45597203691125</v>
      </c>
      <c r="AB4" s="7">
        <v>608.57788024092656</v>
      </c>
      <c r="AC4" s="7">
        <v>607.71416508798825</v>
      </c>
      <c r="AD4" s="7">
        <v>607.78911319768918</v>
      </c>
      <c r="AE4" s="7">
        <v>608.69427083416531</v>
      </c>
      <c r="AF4" s="7">
        <v>610.30439916821865</v>
      </c>
      <c r="AG4" s="7">
        <v>612.49063075755203</v>
      </c>
      <c r="AH4" s="7">
        <v>615.13025069758851</v>
      </c>
      <c r="AI4" s="7">
        <v>618.11310536859651</v>
      </c>
      <c r="AJ4" s="7">
        <v>621.34504279073383</v>
      </c>
      <c r="AK4" s="7">
        <v>624.74899644283494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Extrusion</vt:lpstr>
      <vt:lpstr>Forgings</vt:lpstr>
      <vt:lpstr>Castings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2025-08-11T15:54:38Z</dcterms:created>
  <dcterms:modified xsi:type="dcterms:W3CDTF">2026-03-09T17:11:20Z</dcterms:modified>
</cp:coreProperties>
</file>