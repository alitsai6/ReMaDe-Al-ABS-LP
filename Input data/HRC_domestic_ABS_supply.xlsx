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alissatsai/Documents/Winter 2026 University of Michigan/Optimization for Cross Al Life Cycle/"/>
    </mc:Choice>
  </mc:AlternateContent>
  <xr:revisionPtr revIDLastSave="0" documentId="13_ncr:1_{CE256E5C-44EB-674B-A01A-708376FBB2E1}" xr6:coauthVersionLast="47" xr6:coauthVersionMax="47" xr10:uidLastSave="{00000000-0000-0000-0000-000000000000}"/>
  <bookViews>
    <workbookView xWindow="25600" yWindow="13800" windowWidth="25600" windowHeight="13220" xr2:uid="{00000000-000D-0000-FFFF-FFFF00000000}"/>
  </bookViews>
  <sheets>
    <sheet name="Sheet" sheetId="1" r:id="rId1"/>
    <sheet name="Extrusion" sheetId="2" r:id="rId2"/>
    <sheet name="Forgings" sheetId="3" r:id="rId3"/>
    <sheet name="Castings" sheetId="4" r:id="rId4"/>
  </sheets>
  <externalReferences>
    <externalReference r:id="rId5"/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 a="1"/>
  <c r="B6" i="1" s="1"/>
  <c r="B9" i="1" a="1"/>
  <c r="B9" i="1" s="1"/>
  <c r="B8" i="1" a="1"/>
  <c r="B8" i="1" s="1"/>
  <c r="B13" i="1" l="1" a="1"/>
  <c r="B13" i="1" s="1"/>
  <c r="B14" i="1" a="1"/>
  <c r="B14" i="1" s="1"/>
  <c r="B12" i="1" a="1"/>
  <c r="B12" i="1" s="1"/>
  <c r="B7" i="1" a="1"/>
  <c r="B7" i="1" s="1"/>
  <c r="A5" i="1" l="1" a="1"/>
  <c r="A5" i="1" s="1"/>
  <c r="B2" i="1" l="1" a="1"/>
  <c r="B2" i="1" s="1"/>
  <c r="B2" i="2" a="1"/>
  <c r="B2" i="2" s="1"/>
  <c r="B5" i="1" l="1" a="1"/>
  <c r="B11" i="1" a="1"/>
  <c r="B11" i="1" s="1"/>
  <c r="B10" i="1" a="1"/>
  <c r="B10" i="1" s="1"/>
  <c r="B2" i="3" a="1"/>
  <c r="B2" i="3" s="1"/>
  <c r="B3" i="2" a="1"/>
  <c r="B3" i="2" s="1"/>
  <c r="B15" i="1" a="1"/>
  <c r="B15" i="1" s="1"/>
  <c r="B3" i="1" a="1"/>
  <c r="B3" i="1" s="1"/>
  <c r="B4" i="1" a="1"/>
  <c r="B4" i="1" s="1"/>
  <c r="B4" i="4" a="1"/>
  <c r="B4" i="4" s="1"/>
  <c r="B3" i="4" a="1"/>
  <c r="B3" i="4" s="1"/>
  <c r="B2" i="4" a="1"/>
  <c r="B2" i="4" s="1"/>
  <c r="B5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<sst xmlns="http://schemas.openxmlformats.org/spreadsheetml/2006/main" count="14" uniqueCount="11">
  <si>
    <t>Alloy</t>
  </si>
  <si>
    <t>Auto Sheet 1xxx</t>
  </si>
  <si>
    <t>Auto Sheet 3xxx</t>
  </si>
  <si>
    <t>Auto Sheet 4xxx</t>
  </si>
  <si>
    <t>Auto Sheet 7xxx</t>
  </si>
  <si>
    <t>Auto Extrusion 6xxx</t>
  </si>
  <si>
    <t>Auto Extrusion 7xxx</t>
  </si>
  <si>
    <t>Auto Forgings 6xxx</t>
  </si>
  <si>
    <t>Auto Castings 319</t>
  </si>
  <si>
    <t>Auto Castings A380</t>
  </si>
  <si>
    <t>Auto Castings A356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</si>
</sst>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2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right" vertical="top"/>
    </xf>
    <xf numFmtId="0" fontId="3" fillId="0" borderId="2" xfId="0" applyFont="1" applyBorder="1" applyAlignment="1">
      <alignment horizontal="center" vertical="top"/>
    </xf>
    <xf numFmtId="0" fontId="1" fillId="0" borderId="1" xfId="1" applyFont="1" applyBorder="1" applyAlignment="1">
      <alignment horizontal="center" vertical="top"/>
    </xf>
    <xf numFmtId="0" fontId="2" fillId="0" borderId="2" xfId="1"/>
    <xf numFmtId="0" fontId="1" fillId="0" borderId="2" xfId="1" applyFont="1" applyAlignment="1">
      <alignment horizontal="left" vertical="top"/>
    </xf>
    <xf numFmtId="0" fontId="4" fillId="0" borderId="2" xfId="1" applyFont="1"/>
    <xf numFmtId="0" fontId="3" fillId="0" borderId="2" xfId="0" applyFont="1" applyBorder="1" applyAlignment="1">
      <alignment vertical="top"/>
    </xf>
  </cellXfs>
  <cellStyles count="2">
    <cellStyle name="Normal" xfId="0" builtinId="0"/>
    <cellStyle name="Normal 2" xfId="1" xr:uid="{4D26B28A-52E4-1349-8DD1-A9529400ABA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lissatsai/Documents/Winter%202026%20University%20of%20Michigan/Optimization%20for%20Cross%20Al%20Life%20Cycle/03.26%20Auto%20DMFA.xlsx" TargetMode="External"/><Relationship Id="rId1" Type="http://schemas.openxmlformats.org/officeDocument/2006/relationships/externalLinkPath" Target="03.26%20Auto%20DMF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lissatsai/Documents/Winter%202026%20University%20of%20Michigan/Optimization%20for%20Cross%20Al%20Life%20Cycle/HRC_domestic_ABS_demand.xlsx" TargetMode="External"/><Relationship Id="rId1" Type="http://schemas.openxmlformats.org/officeDocument/2006/relationships/externalLinkPath" Target="HRC_domestic_ABS_dema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ansport. LDVs (Liao)"/>
      <sheetName val="Transport. LDVs (Greene)"/>
    </sheetNames>
    <sheetDataSet>
      <sheetData sheetId="0">
        <row r="793">
          <cell r="AZ793">
            <v>156.94579810235911</v>
          </cell>
          <cell r="BA793">
            <v>159.57889884192923</v>
          </cell>
          <cell r="BB793">
            <v>160.74825228304857</v>
          </cell>
          <cell r="BC793">
            <v>160.67368451774306</v>
          </cell>
          <cell r="BD793">
            <v>159.70147383689667</v>
          </cell>
          <cell r="BE793">
            <v>158.24854250262811</v>
          </cell>
          <cell r="BF793">
            <v>156.73241800501904</v>
          </cell>
          <cell r="BG793">
            <v>155.50033228241733</v>
          </cell>
          <cell r="BH793">
            <v>154.77442840866533</v>
          </cell>
          <cell r="BI793">
            <v>154.62731686797127</v>
          </cell>
          <cell r="BJ793">
            <v>154.99173402483575</v>
          </cell>
          <cell r="BK793">
            <v>155.69716466268338</v>
          </cell>
          <cell r="BL793">
            <v>156.52178743474536</v>
          </cell>
          <cell r="BM793">
            <v>157.24556180687881</v>
          </cell>
          <cell r="BN793">
            <v>157.69204887770474</v>
          </cell>
          <cell r="BO793">
            <v>157.75263358799828</v>
          </cell>
          <cell r="BP793">
            <v>157.39206927076995</v>
          </cell>
          <cell r="BQ793">
            <v>156.63880904401577</v>
          </cell>
          <cell r="BR793">
            <v>155.56697178248629</v>
          </cell>
          <cell r="BS793">
            <v>154.2767170316182</v>
          </cell>
          <cell r="BT793">
            <v>152.87715525878937</v>
          </cell>
          <cell r="BU793">
            <v>151.4732440738421</v>
          </cell>
          <cell r="BV793">
            <v>150.15665209718165</v>
          </cell>
          <cell r="BW793">
            <v>149.00012802331594</v>
          </cell>
          <cell r="BX793">
            <v>148.05489645589444</v>
          </cell>
          <cell r="BY793">
            <v>147.35061244449588</v>
          </cell>
          <cell r="BZ793">
            <v>146.89733872627522</v>
          </cell>
          <cell r="CA793">
            <v>146.68891760329376</v>
          </cell>
          <cell r="CB793">
            <v>146.7070716825653</v>
          </cell>
          <cell r="CC793">
            <v>146.92562089676193</v>
          </cell>
          <cell r="CD793">
            <v>147.31433381957652</v>
          </cell>
          <cell r="CE793">
            <v>147.84210351338771</v>
          </cell>
          <cell r="CF793">
            <v>148.47930830129906</v>
          </cell>
          <cell r="CG793">
            <v>149.19935886459626</v>
          </cell>
          <cell r="CH793">
            <v>149.97952850554833</v>
          </cell>
          <cell r="CI793">
            <v>150.80121486190609</v>
          </cell>
        </row>
        <row r="794">
          <cell r="AZ794">
            <v>313.8917187309064</v>
          </cell>
          <cell r="BA794">
            <v>319.1582222650685</v>
          </cell>
          <cell r="BB794">
            <v>321.49719836720311</v>
          </cell>
          <cell r="BC794">
            <v>321.3483017937794</v>
          </cell>
          <cell r="BD794">
            <v>319.40409425211362</v>
          </cell>
          <cell r="BE794">
            <v>316.49842555973839</v>
          </cell>
          <cell r="BF794">
            <v>313.46635339151123</v>
          </cell>
          <cell r="BG794">
            <v>311.00234194490463</v>
          </cell>
          <cell r="BH794">
            <v>309.5506757642861</v>
          </cell>
          <cell r="BI794">
            <v>309.25657229274901</v>
          </cell>
          <cell r="BJ794">
            <v>309.98550027330282</v>
          </cell>
          <cell r="BK794">
            <v>311.39642494964244</v>
          </cell>
          <cell r="BL794">
            <v>313.04569995287841</v>
          </cell>
          <cell r="BM794">
            <v>314.49324220051989</v>
          </cell>
          <cell r="BN794">
            <v>315.38617426354381</v>
          </cell>
          <cell r="BO794">
            <v>315.5072693274069</v>
          </cell>
          <cell r="BP794">
            <v>314.78603945385521</v>
          </cell>
          <cell r="BQ794">
            <v>313.27939760938801</v>
          </cell>
          <cell r="BR794">
            <v>311.13558868890209</v>
          </cell>
          <cell r="BS794">
            <v>308.55493813184023</v>
          </cell>
          <cell r="BT794">
            <v>305.75567214624914</v>
          </cell>
          <cell r="BU794">
            <v>302.94771021668652</v>
          </cell>
          <cell r="BV794">
            <v>300.31439240267281</v>
          </cell>
          <cell r="BW794">
            <v>298.00121797941006</v>
          </cell>
          <cell r="BX794">
            <v>296.11063729424052</v>
          </cell>
          <cell r="BY794">
            <v>294.70196115763736</v>
          </cell>
          <cell r="BZ794">
            <v>293.79531514456687</v>
          </cell>
          <cell r="CA794">
            <v>293.37838405679884</v>
          </cell>
          <cell r="CB794">
            <v>293.4146127370517</v>
          </cell>
          <cell r="CC794">
            <v>293.85164066771165</v>
          </cell>
          <cell r="CD794">
            <v>294.62900455500062</v>
          </cell>
          <cell r="CE794">
            <v>295.68448998173432</v>
          </cell>
          <cell r="CF794">
            <v>296.95885289625755</v>
          </cell>
          <cell r="CG794">
            <v>298.39891396000087</v>
          </cell>
          <cell r="CH794">
            <v>299.95921917212769</v>
          </cell>
          <cell r="CI794">
            <v>301.60256314192912</v>
          </cell>
        </row>
        <row r="795">
          <cell r="AZ795">
            <v>650.20345697589062</v>
          </cell>
          <cell r="BA795">
            <v>661.11245983066874</v>
          </cell>
          <cell r="BB795">
            <v>665.95732613976088</v>
          </cell>
          <cell r="BC795">
            <v>665.6487695547271</v>
          </cell>
          <cell r="BD795">
            <v>661.62138242161586</v>
          </cell>
          <cell r="BE795">
            <v>655.60242290020301</v>
          </cell>
          <cell r="BF795">
            <v>649.32165109502353</v>
          </cell>
          <cell r="BG795">
            <v>644.21759984445373</v>
          </cell>
          <cell r="BH795">
            <v>641.21057574381939</v>
          </cell>
          <cell r="BI795">
            <v>640.60139377655855</v>
          </cell>
          <cell r="BJ795">
            <v>642.11138944687514</v>
          </cell>
          <cell r="BK795">
            <v>645.03414124225355</v>
          </cell>
          <cell r="BL795">
            <v>648.45067385313405</v>
          </cell>
          <cell r="BM795">
            <v>651.44938945109118</v>
          </cell>
          <cell r="BN795">
            <v>653.29932395364494</v>
          </cell>
          <cell r="BO795">
            <v>653.55049617631289</v>
          </cell>
          <cell r="BP795">
            <v>652.05687811744156</v>
          </cell>
          <cell r="BQ795">
            <v>648.93634074950864</v>
          </cell>
          <cell r="BR795">
            <v>644.49594244531886</v>
          </cell>
          <cell r="BS795">
            <v>639.1506256742548</v>
          </cell>
          <cell r="BT795">
            <v>633.35241726425897</v>
          </cell>
          <cell r="BU795">
            <v>627.5361415941793</v>
          </cell>
          <cell r="BV795">
            <v>622.08157102024768</v>
          </cell>
          <cell r="BW795">
            <v>617.29009753529078</v>
          </cell>
          <cell r="BX795">
            <v>613.37394324033983</v>
          </cell>
          <cell r="BY795">
            <v>610.45597203691125</v>
          </cell>
          <cell r="BZ795">
            <v>608.57788024092656</v>
          </cell>
          <cell r="CA795">
            <v>607.71416508798825</v>
          </cell>
          <cell r="CB795">
            <v>607.78911319768918</v>
          </cell>
          <cell r="CC795">
            <v>608.69427083416531</v>
          </cell>
          <cell r="CD795">
            <v>610.30439916821865</v>
          </cell>
          <cell r="CE795">
            <v>612.49063075755203</v>
          </cell>
          <cell r="CF795">
            <v>615.13025069758851</v>
          </cell>
          <cell r="CG795">
            <v>618.11310536859651</v>
          </cell>
          <cell r="CH795">
            <v>621.34504279073383</v>
          </cell>
          <cell r="CI795">
            <v>624.74899644283494</v>
          </cell>
        </row>
        <row r="796">
          <cell r="AZ796">
            <v>23.387954011531569</v>
          </cell>
          <cell r="BA796">
            <v>23.787417527002599</v>
          </cell>
          <cell r="BB796">
            <v>24.041643563777178</v>
          </cell>
          <cell r="BC796">
            <v>24.199510012473631</v>
          </cell>
          <cell r="BD796">
            <v>24.341703593006059</v>
          </cell>
          <cell r="BE796">
            <v>24.576607388972448</v>
          </cell>
          <cell r="BF796">
            <v>25.02990296951663</v>
          </cell>
          <cell r="BG796">
            <v>25.826935494612869</v>
          </cell>
          <cell r="BH796">
            <v>27.071178535893168</v>
          </cell>
          <cell r="BI796">
            <v>28.825296069956199</v>
          </cell>
          <cell r="BJ796">
            <v>31.100017140509582</v>
          </cell>
          <cell r="BK796">
            <v>33.853065337489177</v>
          </cell>
          <cell r="BL796">
            <v>36.998459063391778</v>
          </cell>
          <cell r="BM796">
            <v>40.423166695568689</v>
          </cell>
          <cell r="BN796">
            <v>44.00602934179642</v>
          </cell>
          <cell r="BO796">
            <v>47.63451411213493</v>
          </cell>
          <cell r="BP796">
            <v>51.21612430806227</v>
          </cell>
          <cell r="BQ796">
            <v>54.683427182524312</v>
          </cell>
          <cell r="BR796">
            <v>57.994078720514111</v>
          </cell>
          <cell r="BS796">
            <v>61.128045713902694</v>
          </cell>
          <cell r="BT796">
            <v>64.083571840427268</v>
          </cell>
          <cell r="BU796">
            <v>66.872605207496321</v>
          </cell>
          <cell r="BV796">
            <v>69.516049829273257</v>
          </cell>
          <cell r="BW796">
            <v>72.039209999390607</v>
          </cell>
          <cell r="BX796">
            <v>74.467852942345601</v>
          </cell>
          <cell r="BY796">
            <v>76.825249290702374</v>
          </cell>
          <cell r="BZ796">
            <v>79.13036509594933</v>
          </cell>
          <cell r="CA796">
            <v>81.39716009061344</v>
          </cell>
          <cell r="CB796">
            <v>83.634774653168407</v>
          </cell>
          <cell r="CC796">
            <v>85.848302817133913</v>
          </cell>
          <cell r="CD796">
            <v>88.039846239188506</v>
          </cell>
          <cell r="CE796">
            <v>90.209600330329209</v>
          </cell>
          <cell r="CF796">
            <v>92.356804480209377</v>
          </cell>
          <cell r="CG796">
            <v>94.480470143180099</v>
          </cell>
          <cell r="CH796">
            <v>96.579865488522501</v>
          </cell>
          <cell r="CI796">
            <v>98.654779808767131</v>
          </cell>
        </row>
        <row r="798">
          <cell r="AZ798">
            <v>11.076075528467417</v>
          </cell>
          <cell r="BA798">
            <v>11.26530438871705</v>
          </cell>
          <cell r="BB798">
            <v>11.385755262172069</v>
          </cell>
          <cell r="BC798">
            <v>11.460568028724442</v>
          </cell>
          <cell r="BD798">
            <v>11.527946330643196</v>
          </cell>
          <cell r="BE798">
            <v>11.639211736875314</v>
          </cell>
          <cell r="BF798">
            <v>11.853880305154341</v>
          </cell>
          <cell r="BG798">
            <v>12.231310795047953</v>
          </cell>
          <cell r="BH798">
            <v>12.820505863526453</v>
          </cell>
          <cell r="BI798">
            <v>13.651144844378823</v>
          </cell>
          <cell r="BJ798">
            <v>14.728316370826571</v>
          </cell>
          <cell r="BK798">
            <v>16.032010512065352</v>
          </cell>
          <cell r="BL798">
            <v>17.521520714045458</v>
          </cell>
          <cell r="BM798">
            <v>19.143328570040719</v>
          </cell>
          <cell r="BN798">
            <v>20.840063500247989</v>
          </cell>
          <cell r="BO798">
            <v>22.558436062531378</v>
          </cell>
          <cell r="BP798">
            <v>24.254641670979311</v>
          </cell>
          <cell r="BQ798">
            <v>25.89674236668052</v>
          </cell>
          <cell r="BR798">
            <v>27.46467944951679</v>
          </cell>
          <cell r="BS798">
            <v>28.94895901384022</v>
          </cell>
          <cell r="BT798">
            <v>30.348742569321608</v>
          </cell>
          <cell r="BU798">
            <v>31.669682345844588</v>
          </cell>
          <cell r="BV798">
            <v>32.921672997051161</v>
          </cell>
          <cell r="BW798">
            <v>34.116694343470726</v>
          </cell>
          <cell r="BX798">
            <v>35.266946742434619</v>
          </cell>
          <cell r="BY798">
            <v>36.383449367050531</v>
          </cell>
          <cell r="BZ798">
            <v>37.475183710419657</v>
          </cell>
          <cell r="CA798">
            <v>38.548761046943241</v>
          </cell>
          <cell r="CB798">
            <v>39.608510723558631</v>
          </cell>
          <cell r="CC798">
            <v>40.656846070784823</v>
          </cell>
          <cell r="CD798">
            <v>41.694763385977787</v>
          </cell>
          <cell r="CE798">
            <v>42.722356196268308</v>
          </cell>
          <cell r="CF798">
            <v>43.739265241824071</v>
          </cell>
          <cell r="CG798">
            <v>44.745023178389161</v>
          </cell>
          <cell r="CH798">
            <v>45.739284168559735</v>
          </cell>
          <cell r="CI798">
            <v>46.721949018984709</v>
          </cell>
        </row>
        <row r="799">
          <cell r="AZ799">
            <v>2.4694688663207511</v>
          </cell>
          <cell r="BA799">
            <v>2.5117920511906022</v>
          </cell>
          <cell r="BB799">
            <v>2.5387914316127271</v>
          </cell>
          <cell r="BC799">
            <v>2.5556215055933187</v>
          </cell>
          <cell r="BD799">
            <v>2.5707954711139926</v>
          </cell>
          <cell r="BE799">
            <v>2.5957519031976943</v>
          </cell>
          <cell r="BF799">
            <v>2.6437588427333369</v>
          </cell>
          <cell r="BG799">
            <v>2.7280523956742351</v>
          </cell>
          <cell r="BH799">
            <v>2.8595613453915711</v>
          </cell>
          <cell r="BI799">
            <v>3.0449062930704529</v>
          </cell>
          <cell r="BJ799">
            <v>3.2852241721682791</v>
          </cell>
          <cell r="BK799">
            <v>3.5760539017667767</v>
          </cell>
          <cell r="BL799">
            <v>3.9083180365821892</v>
          </cell>
          <cell r="BM799">
            <v>4.2700819248656652</v>
          </cell>
          <cell r="BN799">
            <v>4.6485520569993266</v>
          </cell>
          <cell r="BO799">
            <v>5.031845194829633</v>
          </cell>
          <cell r="BP799">
            <v>5.4101932985338124</v>
          </cell>
          <cell r="BQ799">
            <v>5.7764745162919624</v>
          </cell>
          <cell r="BR799">
            <v>6.1262159014671376</v>
          </cell>
          <cell r="BS799">
            <v>6.4573002455277919</v>
          </cell>
          <cell r="BT799">
            <v>6.7695403089175281</v>
          </cell>
          <cell r="BU799">
            <v>7.0641961848503891</v>
          </cell>
          <cell r="BV799">
            <v>7.3434740159030962</v>
          </cell>
          <cell r="BW799">
            <v>7.6100449908089498</v>
          </cell>
          <cell r="BX799">
            <v>7.8666295786903646</v>
          </cell>
          <cell r="BY799">
            <v>8.1156849479133903</v>
          </cell>
          <cell r="BZ799">
            <v>8.3592139754655719</v>
          </cell>
          <cell r="CA799">
            <v>8.5986910601497843</v>
          </cell>
          <cell r="CB799">
            <v>8.8350818070348112</v>
          </cell>
          <cell r="CC799">
            <v>9.0689245908265619</v>
          </cell>
          <cell r="CD799">
            <v>9.3004418225562873</v>
          </cell>
          <cell r="CE799">
            <v>9.5296546147009238</v>
          </cell>
          <cell r="CF799">
            <v>9.756483112295788</v>
          </cell>
          <cell r="CG799">
            <v>9.9808233605695094</v>
          </cell>
          <cell r="CH799">
            <v>10.202598488778689</v>
          </cell>
          <cell r="CI799">
            <v>10.4217866112858</v>
          </cell>
        </row>
        <row r="800">
          <cell r="AZ800">
            <v>27.428597252104538</v>
          </cell>
          <cell r="BA800">
            <v>27.869723614906285</v>
          </cell>
          <cell r="BB800">
            <v>28.129913293507972</v>
          </cell>
          <cell r="BC800">
            <v>28.23332522377099</v>
          </cell>
          <cell r="BD800">
            <v>28.257959311001724</v>
          </cell>
          <cell r="BE800">
            <v>28.303097284798703</v>
          </cell>
          <cell r="BF800">
            <v>28.478415230539685</v>
          </cell>
          <cell r="BG800">
            <v>28.895299872280127</v>
          </cell>
          <cell r="BH800">
            <v>29.639450722930221</v>
          </cell>
          <cell r="BI800">
            <v>30.752329881661812</v>
          </cell>
          <cell r="BJ800">
            <v>32.221094314503723</v>
          </cell>
          <cell r="BK800">
            <v>33.980224067113255</v>
          </cell>
          <cell r="BL800">
            <v>35.92480726382999</v>
          </cell>
          <cell r="BM800">
            <v>37.931338144790686</v>
          </cell>
          <cell r="BN800">
            <v>39.879589166162752</v>
          </cell>
          <cell r="BO800">
            <v>41.720736318016826</v>
          </cell>
          <cell r="BP800">
            <v>43.353457920093902</v>
          </cell>
          <cell r="BQ800">
            <v>44.787974750896225</v>
          </cell>
          <cell r="BR800">
            <v>46.043492142562705</v>
          </cell>
          <cell r="BS800">
            <v>47.142313028663295</v>
          </cell>
          <cell r="BT800">
            <v>48.084716851896623</v>
          </cell>
          <cell r="BU800">
            <v>48.830915812293867</v>
          </cell>
          <cell r="BV800">
            <v>49.296626236320236</v>
          </cell>
          <cell r="BW800">
            <v>49.365291924191474</v>
          </cell>
          <cell r="BX800">
            <v>48.913306902022128</v>
          </cell>
          <cell r="BY800">
            <v>47.839593620740416</v>
          </cell>
          <cell r="BZ800">
            <v>46.090232703195831</v>
          </cell>
          <cell r="CA800">
            <v>43.671825393512961</v>
          </cell>
          <cell r="CB800">
            <v>40.651718469183656</v>
          </cell>
          <cell r="CC800">
            <v>37.147119887172479</v>
          </cell>
          <cell r="CD800">
            <v>33.307397446187039</v>
          </cell>
          <cell r="CE800">
            <v>29.334003286950605</v>
          </cell>
          <cell r="CF800">
            <v>25.346767908146333</v>
          </cell>
          <cell r="CG800">
            <v>21.465587046997641</v>
          </cell>
          <cell r="CH800">
            <v>17.80338169626766</v>
          </cell>
          <cell r="CI800">
            <v>14.44184752317063</v>
          </cell>
        </row>
        <row r="801">
          <cell r="AZ801">
            <v>0</v>
          </cell>
          <cell r="BA801">
            <v>1.6839218042133335E-2</v>
          </cell>
          <cell r="BB801">
            <v>4.0191600079582716E-2</v>
          </cell>
          <cell r="BC801">
            <v>9.0458763696966177E-2</v>
          </cell>
          <cell r="BD801">
            <v>0.17786916225753716</v>
          </cell>
          <cell r="BE801">
            <v>0.31953981411682547</v>
          </cell>
          <cell r="BF801">
            <v>0.53866718405260627</v>
          </cell>
          <cell r="BG801">
            <v>0.85713711811303606</v>
          </cell>
          <cell r="BH801">
            <v>1.2968343225874239</v>
          </cell>
          <cell r="BI801">
            <v>1.8773885740646301</v>
          </cell>
          <cell r="BJ801">
            <v>2.6143482588726727</v>
          </cell>
          <cell r="BK801">
            <v>3.5174213783000323</v>
          </cell>
          <cell r="BL801">
            <v>4.5890316616212701</v>
          </cell>
          <cell r="BM801">
            <v>5.8235567692418178</v>
          </cell>
          <cell r="BN801">
            <v>7.2075351989035727</v>
          </cell>
          <cell r="BO801">
            <v>8.6898436349492716</v>
          </cell>
          <cell r="BP801">
            <v>10.266128502575572</v>
          </cell>
          <cell r="BQ801">
            <v>11.880276810635703</v>
          </cell>
          <cell r="BR801">
            <v>13.48065213605908</v>
          </cell>
          <cell r="BS801">
            <v>15.010534323535314</v>
          </cell>
          <cell r="BT801">
            <v>16.411355984457025</v>
          </cell>
          <cell r="BU801">
            <v>17.627082662577738</v>
          </cell>
          <cell r="BV801">
            <v>18.609298721491278</v>
          </cell>
          <cell r="BW801">
            <v>19.32203549375927</v>
          </cell>
          <cell r="BX801">
            <v>19.745217648493078</v>
          </cell>
          <cell r="BY801">
            <v>19.875942330378667</v>
          </cell>
          <cell r="BZ801">
            <v>19.727445340934857</v>
          </cell>
          <cell r="CA801">
            <v>19.326214789565704</v>
          </cell>
          <cell r="CB801">
            <v>18.708048456541871</v>
          </cell>
          <cell r="CC801">
            <v>17.913879475618167</v>
          </cell>
          <cell r="CD801">
            <v>16.986008155570754</v>
          </cell>
          <cell r="CE801">
            <v>15.940745877502431</v>
          </cell>
          <cell r="CF801">
            <v>14.837453641107032</v>
          </cell>
          <cell r="CG801">
            <v>13.718817659455729</v>
          </cell>
          <cell r="CH801">
            <v>12.609524019738094</v>
          </cell>
          <cell r="CI801">
            <v>11.529084862514395</v>
          </cell>
        </row>
        <row r="802">
          <cell r="AZ802">
            <v>0</v>
          </cell>
          <cell r="BA802">
            <v>1.0531193505715559E-2</v>
          </cell>
          <cell r="BB802">
            <v>2.5135699097388151E-2</v>
          </cell>
          <cell r="BC802">
            <v>5.6573499069069826E-2</v>
          </cell>
          <cell r="BD802">
            <v>0.11124359683231619</v>
          </cell>
          <cell r="BE802">
            <v>0.19985924636965344</v>
          </cell>
          <cell r="BF802">
            <v>0.33695003989119993</v>
          </cell>
          <cell r="BG802">
            <v>0.53625228540208103</v>
          </cell>
          <cell r="BH802">
            <v>0.81153974642986504</v>
          </cell>
          <cell r="BI802">
            <v>1.1752175148778627</v>
          </cell>
          <cell r="BJ802">
            <v>1.6371687187241117</v>
          </cell>
          <cell r="BK802">
            <v>2.2036293902237323</v>
          </cell>
          <cell r="BL802">
            <v>2.8762537912088906</v>
          </cell>
          <cell r="BM802">
            <v>3.6516101106935488</v>
          </cell>
          <cell r="BN802">
            <v>4.5212940233544572</v>
          </cell>
          <cell r="BO802">
            <v>5.4532746636828939</v>
          </cell>
          <cell r="BP802">
            <v>6.4447099908238341</v>
          </cell>
          <cell r="BQ802">
            <v>7.460335314056195</v>
          </cell>
          <cell r="BR802">
            <v>8.4676414322069231</v>
          </cell>
          <cell r="BS802">
            <v>9.4308955645546586</v>
          </cell>
          <cell r="BT802">
            <v>10.313167066613859</v>
          </cell>
          <cell r="BU802">
            <v>11.079081360615429</v>
          </cell>
          <cell r="BV802">
            <v>11.69803372194712</v>
          </cell>
          <cell r="BW802">
            <v>12.147253988079651</v>
          </cell>
          <cell r="BX802">
            <v>12.414004335860927</v>
          </cell>
          <cell r="BY802">
            <v>12.496404552962741</v>
          </cell>
          <cell r="BZ802">
            <v>12.40278706049979</v>
          </cell>
          <cell r="CA802">
            <v>12.149872205293413</v>
          </cell>
          <cell r="CB802">
            <v>11.760270204859491</v>
          </cell>
          <cell r="CC802">
            <v>11.259835061861329</v>
          </cell>
          <cell r="CD802">
            <v>10.675276769272422</v>
          </cell>
          <cell r="CE802">
            <v>10.016957126993546</v>
          </cell>
          <cell r="CF802">
            <v>9.3222699248325114</v>
          </cell>
          <cell r="CG802">
            <v>8.618098166212528</v>
          </cell>
          <cell r="CH802">
            <v>7.9199882172114595</v>
          </cell>
          <cell r="CI802">
            <v>7.2402148102914046</v>
          </cell>
        </row>
        <row r="803">
          <cell r="AZ803">
            <v>0</v>
          </cell>
          <cell r="BA803">
            <v>0</v>
          </cell>
          <cell r="BB803">
            <v>0</v>
          </cell>
          <cell r="BC803">
            <v>0</v>
          </cell>
          <cell r="BD803">
            <v>0</v>
          </cell>
          <cell r="BE803">
            <v>0</v>
          </cell>
          <cell r="BF803">
            <v>0</v>
          </cell>
          <cell r="BG803">
            <v>0</v>
          </cell>
          <cell r="BH803">
            <v>0</v>
          </cell>
          <cell r="BI803">
            <v>0</v>
          </cell>
          <cell r="BJ803">
            <v>0</v>
          </cell>
          <cell r="BK803">
            <v>0</v>
          </cell>
          <cell r="BL803">
            <v>0</v>
          </cell>
          <cell r="BM803">
            <v>0</v>
          </cell>
          <cell r="BN803">
            <v>0</v>
          </cell>
          <cell r="BO803">
            <v>0</v>
          </cell>
          <cell r="BP803">
            <v>3.6559049540722978E-5</v>
          </cell>
          <cell r="BQ803">
            <v>2.1802167207734054E-3</v>
          </cell>
          <cell r="BR803">
            <v>2.1708452447644053E-2</v>
          </cell>
          <cell r="BS803">
            <v>0.10527428968968988</v>
          </cell>
          <cell r="BT803">
            <v>0.34603425477356292</v>
          </cell>
          <cell r="BU803">
            <v>0.88919563466084806</v>
          </cell>
          <cell r="BV803">
            <v>1.9225764575312685</v>
          </cell>
          <cell r="BW803">
            <v>3.6511465947228641</v>
          </cell>
          <cell r="BX803">
            <v>6.2615431154686982</v>
          </cell>
          <cell r="BY803">
            <v>9.4467389951880811</v>
          </cell>
          <cell r="BZ803">
            <v>12.15458102411098</v>
          </cell>
          <cell r="CA803">
            <v>15.178722359570179</v>
          </cell>
          <cell r="CB803">
            <v>18.462528928613818</v>
          </cell>
          <cell r="CC803">
            <v>21.942729839719831</v>
          </cell>
          <cell r="CD803">
            <v>25.555022121212062</v>
          </cell>
          <cell r="CE803">
            <v>29.193885694295361</v>
          </cell>
          <cell r="CF803">
            <v>32.826577923478837</v>
          </cell>
          <cell r="CG803">
            <v>36.428021032279304</v>
          </cell>
          <cell r="CH803">
            <v>39.962434569147391</v>
          </cell>
          <cell r="CI803">
            <v>43.402408699768152</v>
          </cell>
        </row>
        <row r="804">
          <cell r="AZ804">
            <v>0</v>
          </cell>
          <cell r="BA804">
            <v>0</v>
          </cell>
          <cell r="BB804">
            <v>0</v>
          </cell>
          <cell r="BC804">
            <v>0</v>
          </cell>
          <cell r="BD804">
            <v>0</v>
          </cell>
          <cell r="BE804">
            <v>0</v>
          </cell>
          <cell r="BF804">
            <v>0</v>
          </cell>
          <cell r="BG804">
            <v>0</v>
          </cell>
          <cell r="BH804">
            <v>0</v>
          </cell>
          <cell r="BI804">
            <v>0</v>
          </cell>
          <cell r="BJ804">
            <v>0</v>
          </cell>
          <cell r="BK804">
            <v>0</v>
          </cell>
          <cell r="BL804">
            <v>0</v>
          </cell>
          <cell r="BM804">
            <v>0</v>
          </cell>
          <cell r="BN804">
            <v>0</v>
          </cell>
          <cell r="BO804">
            <v>0</v>
          </cell>
          <cell r="BP804">
            <v>0</v>
          </cell>
          <cell r="BQ804">
            <v>0</v>
          </cell>
          <cell r="BR804">
            <v>0</v>
          </cell>
          <cell r="BS804">
            <v>0</v>
          </cell>
          <cell r="BT804">
            <v>0</v>
          </cell>
          <cell r="BU804">
            <v>0</v>
          </cell>
          <cell r="BV804">
            <v>0</v>
          </cell>
          <cell r="BW804">
            <v>0</v>
          </cell>
          <cell r="BX804">
            <v>0</v>
          </cell>
          <cell r="BY804">
            <v>0.44017791340622203</v>
          </cell>
          <cell r="BZ804">
            <v>2.4272803093299888</v>
          </cell>
          <cell r="CA804">
            <v>5.1342153636528831</v>
          </cell>
          <cell r="CB804">
            <v>8.5025816267727024</v>
          </cell>
          <cell r="CC804">
            <v>12.417628713104584</v>
          </cell>
          <cell r="CD804">
            <v>16.727746155196066</v>
          </cell>
          <cell r="CE804">
            <v>21.310557814344229</v>
          </cell>
          <cell r="CF804">
            <v>25.981329092250554</v>
          </cell>
          <cell r="CG804">
            <v>30.574513522899409</v>
          </cell>
          <cell r="CH804">
            <v>34.971880128857293</v>
          </cell>
          <cell r="CI804">
            <v>39.087109193997755</v>
          </cell>
        </row>
        <row r="805">
          <cell r="AZ805">
            <v>72.109898335549687</v>
          </cell>
          <cell r="BA805">
            <v>73.24118452516062</v>
          </cell>
          <cell r="BB805">
            <v>73.885788432757522</v>
          </cell>
          <cell r="BC805">
            <v>74.072811036631435</v>
          </cell>
          <cell r="BD805">
            <v>73.990139702254368</v>
          </cell>
          <cell r="BE805">
            <v>73.870259460153335</v>
          </cell>
          <cell r="BF805">
            <v>73.963365259441801</v>
          </cell>
          <cell r="BG805">
            <v>74.527563095901641</v>
          </cell>
          <cell r="BH805">
            <v>75.755166538988817</v>
          </cell>
          <cell r="BI805">
            <v>77.727888341142915</v>
          </cell>
          <cell r="BJ805">
            <v>80.392954684582392</v>
          </cell>
          <cell r="BK805">
            <v>83.569215392816659</v>
          </cell>
          <cell r="BL805">
            <v>86.983066846430546</v>
          </cell>
          <cell r="BM805">
            <v>90.323147605896963</v>
          </cell>
          <cell r="BN805">
            <v>93.296769804423661</v>
          </cell>
          <cell r="BO805">
            <v>95.674348979041298</v>
          </cell>
          <cell r="BP805">
            <v>97.313430592579891</v>
          </cell>
          <cell r="BQ805">
            <v>98.161347555925431</v>
          </cell>
          <cell r="BR805">
            <v>98.243011053036213</v>
          </cell>
          <cell r="BS805">
            <v>97.642267878446702</v>
          </cell>
          <cell r="BT805">
            <v>96.482400864702953</v>
          </cell>
          <cell r="BU805">
            <v>94.908052373555591</v>
          </cell>
          <cell r="BV805">
            <v>93.069258024204728</v>
          </cell>
          <cell r="BW805">
            <v>91.108071303750847</v>
          </cell>
          <cell r="BX805">
            <v>89.148401233787638</v>
          </cell>
          <cell r="BY805">
            <v>87.289575843991031</v>
          </cell>
          <cell r="BZ805">
            <v>85.603710097929081</v>
          </cell>
          <cell r="CA805">
            <v>84.136423863321056</v>
          </cell>
          <cell r="CB805">
            <v>82.910052075810029</v>
          </cell>
          <cell r="CC805">
            <v>81.928314538579684</v>
          </cell>
          <cell r="CD805">
            <v>81.181477236774725</v>
          </cell>
          <cell r="CE805">
            <v>80.952652678591249</v>
          </cell>
          <cell r="CF805">
            <v>81.011205409267717</v>
          </cell>
          <cell r="CG805">
            <v>81.195539283700924</v>
          </cell>
          <cell r="CH805">
            <v>81.487937952793516</v>
          </cell>
          <cell r="CI805">
            <v>81.872493214378608</v>
          </cell>
        </row>
        <row r="806">
          <cell r="AZ806">
            <v>0</v>
          </cell>
          <cell r="BA806">
            <v>4.9501955260370378E-2</v>
          </cell>
          <cell r="BB806">
            <v>0.118150544995851</v>
          </cell>
          <cell r="BC806">
            <v>0.26586745521795535</v>
          </cell>
          <cell r="BD806">
            <v>0.52259125592622957</v>
          </cell>
          <cell r="BE806">
            <v>0.93814040203832527</v>
          </cell>
          <cell r="BF806">
            <v>1.5793475854144352</v>
          </cell>
          <cell r="BG806">
            <v>2.5076083042689183</v>
          </cell>
          <cell r="BH806">
            <v>3.7820216610910018</v>
          </cell>
          <cell r="BI806">
            <v>5.4525615187224128</v>
          </cell>
          <cell r="BJ806">
            <v>7.555369917283751</v>
          </cell>
          <cell r="BK806">
            <v>10.109091844960398</v>
          </cell>
          <cell r="BL806">
            <v>13.112533455337749</v>
          </cell>
          <cell r="BM806">
            <v>16.544097401555444</v>
          </cell>
          <cell r="BN806">
            <v>20.363342697589918</v>
          </cell>
          <cell r="BO806">
            <v>24.514577134700247</v>
          </cell>
          <cell r="BP806">
            <v>28.931882054591277</v>
          </cell>
          <cell r="BQ806">
            <v>33.544669312683716</v>
          </cell>
          <cell r="BR806">
            <v>38.282887420605007</v>
          </cell>
          <cell r="BS806">
            <v>43.081240919362344</v>
          </cell>
          <cell r="BT806">
            <v>47.882122077961526</v>
          </cell>
          <cell r="BU806">
            <v>52.637246195069395</v>
          </cell>
          <cell r="BV806">
            <v>57.308176673260192</v>
          </cell>
          <cell r="BW806">
            <v>61.866014135566907</v>
          </cell>
          <cell r="BX806">
            <v>66.290535124974042</v>
          </cell>
          <cell r="BY806">
            <v>70.56902805272756</v>
          </cell>
          <cell r="BZ806">
            <v>74.695016910807524</v>
          </cell>
          <cell r="CA806">
            <v>78.667005774422449</v>
          </cell>
          <cell r="CB806">
            <v>82.487324795314436</v>
          </cell>
          <cell r="CC806">
            <v>86.161121097542321</v>
          </cell>
          <cell r="CD806">
            <v>89.695509073782745</v>
          </cell>
          <cell r="CE806">
            <v>92.956789259860926</v>
          </cell>
          <cell r="CF806">
            <v>96.052088571240702</v>
          </cell>
          <cell r="CG806">
            <v>99.055700112690744</v>
          </cell>
          <cell r="CH806">
            <v>101.97452056220443</v>
          </cell>
          <cell r="CI806">
            <v>104.8154081367508</v>
          </cell>
        </row>
        <row r="807">
          <cell r="AZ807">
            <v>0</v>
          </cell>
          <cell r="BA807">
            <v>5.0891858971780744E-2</v>
          </cell>
          <cell r="BB807">
            <v>0.12146794690717813</v>
          </cell>
          <cell r="BC807">
            <v>0.27340153071600859</v>
          </cell>
          <cell r="BD807">
            <v>0.53764241058391704</v>
          </cell>
          <cell r="BE807">
            <v>0.96606509247519579</v>
          </cell>
          <cell r="BF807">
            <v>1.6291627919417593</v>
          </cell>
          <cell r="BG807">
            <v>2.5939209781159653</v>
          </cell>
          <cell r="BH807">
            <v>3.9279776295917093</v>
          </cell>
          <cell r="BI807">
            <v>5.6928699703350922</v>
          </cell>
          <cell r="BJ807">
            <v>7.9383249461194652</v>
          </cell>
          <cell r="BK807">
            <v>10.696512439515836</v>
          </cell>
          <cell r="BL807">
            <v>13.977137206832083</v>
          </cell>
          <cell r="BM807">
            <v>17.764657468509188</v>
          </cell>
          <cell r="BN807">
            <v>22.018638002152048</v>
          </cell>
          <cell r="BO807">
            <v>26.583567310025519</v>
          </cell>
          <cell r="BP807">
            <v>31.444237154630809</v>
          </cell>
          <cell r="BQ807">
            <v>36.428109010673786</v>
          </cell>
          <cell r="BR807">
            <v>41.375414921226117</v>
          </cell>
          <cell r="BS807">
            <v>46.110262639687576</v>
          </cell>
          <cell r="BT807">
            <v>50.450444883311441</v>
          </cell>
          <cell r="BU807">
            <v>54.220927887448724</v>
          </cell>
          <cell r="BV807">
            <v>57.269790741782749</v>
          </cell>
          <cell r="BW807">
            <v>59.483593925499548</v>
          </cell>
          <cell r="BX807">
            <v>60.798524189584519</v>
          </cell>
          <cell r="BY807">
            <v>61.20469523423921</v>
          </cell>
          <cell r="BZ807">
            <v>60.743050253397485</v>
          </cell>
          <cell r="CA807">
            <v>59.496302003183764</v>
          </cell>
          <cell r="CB807">
            <v>57.576461447018033</v>
          </cell>
          <cell r="CC807">
            <v>55.111612275685893</v>
          </cell>
          <cell r="CD807">
            <v>52.233986643390892</v>
          </cell>
          <cell r="CE807">
            <v>48.995643169946092</v>
          </cell>
          <cell r="CF807">
            <v>45.580617441148974</v>
          </cell>
          <cell r="CG807">
            <v>42.121133543102395</v>
          </cell>
          <cell r="CH807">
            <v>38.69365035622009</v>
          </cell>
          <cell r="CI807">
            <v>35.358373595188233</v>
          </cell>
        </row>
        <row r="808">
          <cell r="AZ808">
            <v>0</v>
          </cell>
          <cell r="BA808">
            <v>0</v>
          </cell>
          <cell r="BB808">
            <v>0</v>
          </cell>
          <cell r="BC808">
            <v>0</v>
          </cell>
          <cell r="BD808">
            <v>0</v>
          </cell>
          <cell r="BE808">
            <v>0</v>
          </cell>
          <cell r="BF808">
            <v>0</v>
          </cell>
          <cell r="BG808">
            <v>0</v>
          </cell>
          <cell r="BH808">
            <v>0</v>
          </cell>
          <cell r="BI808">
            <v>0</v>
          </cell>
          <cell r="BJ808">
            <v>0</v>
          </cell>
          <cell r="BK808">
            <v>0</v>
          </cell>
          <cell r="BL808">
            <v>0</v>
          </cell>
          <cell r="BM808">
            <v>0</v>
          </cell>
          <cell r="BN808">
            <v>0</v>
          </cell>
          <cell r="BO808">
            <v>9.3816946129886072E-2</v>
          </cell>
          <cell r="BP808">
            <v>0.21983595471326803</v>
          </cell>
          <cell r="BQ808">
            <v>0.46593239939498837</v>
          </cell>
          <cell r="BR808">
            <v>0.9064507966846288</v>
          </cell>
          <cell r="BS808">
            <v>1.6369584003345397</v>
          </cell>
          <cell r="BT808">
            <v>2.7685662163729532</v>
          </cell>
          <cell r="BU808">
            <v>4.4167838892423319</v>
          </cell>
          <cell r="BV808">
            <v>6.6863807005456817</v>
          </cell>
          <cell r="BW808">
            <v>9.6556573451662491</v>
          </cell>
          <cell r="BX808">
            <v>13.364184603208367</v>
          </cell>
          <cell r="BY808">
            <v>17.806978574503745</v>
          </cell>
          <cell r="BZ808">
            <v>22.935931960249352</v>
          </cell>
          <cell r="CA808">
            <v>28.667247577964492</v>
          </cell>
          <cell r="CB808">
            <v>34.892430337652357</v>
          </cell>
          <cell r="CC808">
            <v>41.49023480957247</v>
          </cell>
          <cell r="CD808">
            <v>48.337528066771142</v>
          </cell>
          <cell r="CE808">
            <v>55.233440761401617</v>
          </cell>
          <cell r="CF808">
            <v>62.115100918191928</v>
          </cell>
          <cell r="CG808">
            <v>68.934539716259309</v>
          </cell>
          <cell r="CH808">
            <v>75.623862305478539</v>
          </cell>
          <cell r="CI808">
            <v>82.131263565487004</v>
          </cell>
        </row>
        <row r="809">
          <cell r="AZ809">
            <v>2.4694688663207511</v>
          </cell>
          <cell r="BA809">
            <v>2.5117920511906022</v>
          </cell>
          <cell r="BB809">
            <v>2.5387914316127271</v>
          </cell>
          <cell r="BC809">
            <v>2.5556215055933187</v>
          </cell>
          <cell r="BD809">
            <v>2.5707954711139926</v>
          </cell>
          <cell r="BE809">
            <v>2.5957519031976943</v>
          </cell>
          <cell r="BF809">
            <v>2.6437588427333369</v>
          </cell>
          <cell r="BG809">
            <v>2.7280523956742351</v>
          </cell>
          <cell r="BH809">
            <v>2.8595613453915711</v>
          </cell>
          <cell r="BI809">
            <v>3.0449062930704529</v>
          </cell>
          <cell r="BJ809">
            <v>3.2852241721682791</v>
          </cell>
          <cell r="BK809">
            <v>3.5760539017667767</v>
          </cell>
          <cell r="BL809">
            <v>3.9083180365821892</v>
          </cell>
          <cell r="BM809">
            <v>4.2700819248656652</v>
          </cell>
          <cell r="BN809">
            <v>4.6485520569993266</v>
          </cell>
          <cell r="BO809">
            <v>5.031845194829633</v>
          </cell>
          <cell r="BP809">
            <v>5.4101932985338124</v>
          </cell>
          <cell r="BQ809">
            <v>5.7764745162919624</v>
          </cell>
          <cell r="BR809">
            <v>6.1262159014671376</v>
          </cell>
          <cell r="BS809">
            <v>6.4573002455277919</v>
          </cell>
          <cell r="BT809">
            <v>6.7695403089175281</v>
          </cell>
          <cell r="BU809">
            <v>7.0641961848503891</v>
          </cell>
          <cell r="BV809">
            <v>7.3434740159030962</v>
          </cell>
          <cell r="BW809">
            <v>7.6100449908089498</v>
          </cell>
          <cell r="BX809">
            <v>7.8666295786903646</v>
          </cell>
          <cell r="BY809">
            <v>8.1156849479133903</v>
          </cell>
          <cell r="BZ809">
            <v>8.3592139754655719</v>
          </cell>
          <cell r="CA809">
            <v>8.5986910601497843</v>
          </cell>
          <cell r="CB809">
            <v>8.8350818070348112</v>
          </cell>
          <cell r="CC809">
            <v>9.0689245908265619</v>
          </cell>
          <cell r="CD809">
            <v>9.3004418225562873</v>
          </cell>
          <cell r="CE809">
            <v>9.5296546147009238</v>
          </cell>
          <cell r="CF809">
            <v>9.756483112295788</v>
          </cell>
          <cell r="CG809">
            <v>9.9808233605695094</v>
          </cell>
          <cell r="CH809">
            <v>10.202598488778689</v>
          </cell>
          <cell r="CI809">
            <v>10.4217866112858</v>
          </cell>
        </row>
        <row r="816">
          <cell r="AZ816">
            <v>66.714224161596576</v>
          </cell>
          <cell r="BA816">
            <v>69.085386309437595</v>
          </cell>
          <cell r="BB816">
            <v>71.094590767109679</v>
          </cell>
          <cell r="BC816">
            <v>72.837932496077613</v>
          </cell>
          <cell r="BD816">
            <v>74.47271200036667</v>
          </cell>
          <cell r="BE816">
            <v>76.196202777786951</v>
          </cell>
          <cell r="BF816">
            <v>78.213280813629609</v>
          </cell>
          <cell r="BG816">
            <v>80.697093817274208</v>
          </cell>
          <cell r="BH816">
            <v>83.75343663944426</v>
          </cell>
          <cell r="BI816">
            <v>87.400593382608747</v>
          </cell>
          <cell r="BJ816">
            <v>91.570607740490189</v>
          </cell>
          <cell r="BK816">
            <v>96.129581671528399</v>
          </cell>
          <cell r="BL816">
            <v>100.91100943221645</v>
          </cell>
          <cell r="BM816">
            <v>105.75254037434956</v>
          </cell>
          <cell r="BN816">
            <v>110.5262806137263</v>
          </cell>
          <cell r="BO816">
            <v>115.15689851021871</v>
          </cell>
          <cell r="BP816">
            <v>119.625489769723</v>
          </cell>
          <cell r="BQ816">
            <v>123.96119109690221</v>
          </cell>
          <cell r="BR816">
            <v>128.2263183242203</v>
          </cell>
          <cell r="BS816">
            <v>132.50097757523389</v>
          </cell>
          <cell r="BT816">
            <v>136.87036660927546</v>
          </cell>
          <cell r="BU816">
            <v>141.41534538553356</v>
          </cell>
          <cell r="BV816">
            <v>146.20571493074345</v>
          </cell>
          <cell r="BW816">
            <v>151.29565518464642</v>
          </cell>
          <cell r="BX816">
            <v>156.72111750691599</v>
          </cell>
          <cell r="BY816">
            <v>162.49914215637193</v>
          </cell>
          <cell r="BZ816">
            <v>168.628984636371</v>
          </cell>
          <cell r="CA816">
            <v>175.09472141551549</v>
          </cell>
          <cell r="CB816">
            <v>181.86882038671047</v>
          </cell>
          <cell r="CC816">
            <v>188.91609245827289</v>
          </cell>
          <cell r="CD816">
            <v>196.1974962848787</v>
          </cell>
          <cell r="CE816">
            <v>203.67340788167309</v>
          </cell>
          <cell r="CF816">
            <v>211.3061383307836</v>
          </cell>
          <cell r="CG816">
            <v>219.06163914859388</v>
          </cell>
          <cell r="CH816">
            <v>226.9104567536011</v>
          </cell>
          <cell r="CI816">
            <v>234.82806472665169</v>
          </cell>
        </row>
        <row r="817">
          <cell r="AZ817">
            <v>24.675794320781343</v>
          </cell>
          <cell r="BA817">
            <v>25.552738624631321</v>
          </cell>
          <cell r="BB817">
            <v>26.295822700570501</v>
          </cell>
          <cell r="BC817">
            <v>26.94058720878192</v>
          </cell>
          <cell r="BD817">
            <v>27.545209241382068</v>
          </cell>
          <cell r="BE817">
            <v>28.182649410356809</v>
          </cell>
          <cell r="BF817">
            <v>28.92867968229276</v>
          </cell>
          <cell r="BG817">
            <v>29.84733658846983</v>
          </cell>
          <cell r="BH817">
            <v>30.977745340747408</v>
          </cell>
          <cell r="BI817">
            <v>32.32666500661724</v>
          </cell>
          <cell r="BJ817">
            <v>33.868958718149507</v>
          </cell>
          <cell r="BK817">
            <v>35.555101006787588</v>
          </cell>
          <cell r="BL817">
            <v>37.323506361080476</v>
          </cell>
          <cell r="BM817">
            <v>39.114126498490734</v>
          </cell>
          <cell r="BN817">
            <v>40.87965868597626</v>
          </cell>
          <cell r="BO817">
            <v>42.59224307059668</v>
          </cell>
          <cell r="BP817">
            <v>44.244892171942595</v>
          </cell>
          <cell r="BQ817">
            <v>45.848388475626763</v>
          </cell>
          <cell r="BR817">
            <v>47.42578664900136</v>
          </cell>
          <cell r="BS817">
            <v>49.006720895381306</v>
          </cell>
          <cell r="BT817">
            <v>50.622707494932627</v>
          </cell>
          <cell r="BU817">
            <v>52.30365682023772</v>
          </cell>
          <cell r="BV817">
            <v>54.075387313408385</v>
          </cell>
          <cell r="BW817">
            <v>55.957938233453021</v>
          </cell>
          <cell r="BX817">
            <v>57.964605506336</v>
          </cell>
          <cell r="BY817">
            <v>60.101689614992992</v>
          </cell>
          <cell r="BZ817">
            <v>62.368912546771277</v>
          </cell>
          <cell r="CA817">
            <v>64.760381852624477</v>
          </cell>
          <cell r="CB817">
            <v>67.265911488170019</v>
          </cell>
          <cell r="CC817">
            <v>69.872483553656707</v>
          </cell>
          <cell r="CD817">
            <v>72.565655660949687</v>
          </cell>
          <cell r="CE817">
            <v>75.330770296282793</v>
          </cell>
          <cell r="CF817">
            <v>78.153885996497934</v>
          </cell>
          <cell r="CG817">
            <v>81.022408267693152</v>
          </cell>
          <cell r="CH817">
            <v>83.925442311719436</v>
          </cell>
          <cell r="CI817">
            <v>86.853916130448908</v>
          </cell>
        </row>
        <row r="822">
          <cell r="AZ822">
            <v>25.575323057585102</v>
          </cell>
          <cell r="BA822">
            <v>26.11957654361666</v>
          </cell>
          <cell r="BB822">
            <v>26.406749483445729</v>
          </cell>
          <cell r="BC822">
            <v>26.46366596208405</v>
          </cell>
          <cell r="BD822">
            <v>26.341155256900379</v>
          </cell>
          <cell r="BE822">
            <v>26.106193767041241</v>
          </cell>
          <cell r="BF822">
            <v>25.830788385578181</v>
          </cell>
          <cell r="BG822">
            <v>25.58002205987448</v>
          </cell>
          <cell r="BH822">
            <v>25.40234832962815</v>
          </cell>
          <cell r="BI822">
            <v>25.32464710411756</v>
          </cell>
          <cell r="BJ822">
            <v>25.352741627042512</v>
          </cell>
          <cell r="BK822">
            <v>25.476215523212371</v>
          </cell>
          <cell r="BL822">
            <v>25.67581200718541</v>
          </cell>
          <cell r="BM822">
            <v>25.931235293611529</v>
          </cell>
          <cell r="BN822">
            <v>26.22733782484292</v>
          </cell>
          <cell r="BO822">
            <v>26.557639295900017</v>
          </cell>
          <cell r="BP822">
            <v>26.924900896422599</v>
          </cell>
          <cell r="BQ822">
            <v>27.339275526737659</v>
          </cell>
          <cell r="BR822">
            <v>27.815286278086329</v>
          </cell>
          <cell r="BS822">
            <v>28.368867232196649</v>
          </cell>
          <cell r="BT822">
            <v>29.015093821318871</v>
          </cell>
          <cell r="BU822">
            <v>29.766663503044519</v>
          </cell>
          <cell r="BV822">
            <v>30.63295082293461</v>
          </cell>
          <cell r="BW822">
            <v>31.619476842377843</v>
          </cell>
          <cell r="BX822">
            <v>32.727722053549385</v>
          </cell>
          <cell r="BY822">
            <v>33.955264345208874</v>
          </cell>
          <cell r="BZ822">
            <v>35.296218330589625</v>
          </cell>
          <cell r="CA822">
            <v>36.741915121977556</v>
          </cell>
          <cell r="CB822">
            <v>38.281727072756581</v>
          </cell>
          <cell r="CC822">
            <v>39.903928506399161</v>
          </cell>
          <cell r="CD822">
            <v>41.596493933943741</v>
          </cell>
          <cell r="CE822">
            <v>43.347762777098019</v>
          </cell>
          <cell r="CF822">
            <v>45.146933411613972</v>
          </cell>
          <cell r="CG822">
            <v>46.984379870067414</v>
          </cell>
          <cell r="CH822">
            <v>48.851808202955795</v>
          </cell>
          <cell r="CI822">
            <v>50.742282773176058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"/>
    </sheetNames>
    <sheetDataSet>
      <sheetData sheetId="0">
        <row r="2">
          <cell r="A2" t="str">
            <v>Auto Sheet 5xxx</v>
          </cell>
        </row>
        <row r="3">
          <cell r="A3" t="str">
            <v>Auto Sheet HRC 5xxx Alloy 2</v>
          </cell>
        </row>
        <row r="4">
          <cell r="A4" t="str">
            <v>Auto Sheet Ford Low Mg</v>
          </cell>
        </row>
        <row r="5">
          <cell r="A5" t="str">
            <v>Auto Sheet Ford High Mg</v>
          </cell>
        </row>
        <row r="6">
          <cell r="A6" t="str">
            <v>Auto Sheet Ford HRC 5xxx Alloy 2</v>
          </cell>
        </row>
        <row r="7">
          <cell r="A7" t="str">
            <v>Auto Sheet 6xxx 6005C</v>
          </cell>
        </row>
        <row r="8">
          <cell r="A8" t="str">
            <v>Auto Sheet 6xxx 6016</v>
          </cell>
        </row>
        <row r="9">
          <cell r="A9" t="str">
            <v>Auto Sheet Ford Low Cu</v>
          </cell>
        </row>
        <row r="10">
          <cell r="A10" t="str">
            <v>Auto Sheet Ford High Cu</v>
          </cell>
        </row>
        <row r="11">
          <cell r="A11" t="str">
            <v>Auto Sheet Ford HRC 6xxx Alloy 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0"/>
  <sheetViews>
    <sheetView tabSelected="1" workbookViewId="0">
      <pane xSplit="1" ySplit="1" topLeftCell="L2" activePane="bottomRight" state="frozen"/>
      <selection pane="topRight" activeCell="B1" sqref="B1"/>
      <selection pane="bottomLeft" activeCell="A2" sqref="A2"/>
      <selection pane="bottomRight" activeCell="P18" sqref="P18"/>
    </sheetView>
  </sheetViews>
  <sheetFormatPr baseColWidth="10" defaultColWidth="8.83203125" defaultRowHeight="15" x14ac:dyDescent="0.2"/>
  <cols>
    <col min="1" max="1" width="30" customWidth="1"/>
  </cols>
  <sheetData>
    <row r="1" spans="1:37" x14ac:dyDescent="0.2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>
        <v>2031</v>
      </c>
      <c r="S1" s="1">
        <v>2032</v>
      </c>
      <c r="T1" s="1">
        <v>2033</v>
      </c>
      <c r="U1" s="1">
        <v>2034</v>
      </c>
      <c r="V1" s="1">
        <v>2035</v>
      </c>
      <c r="W1" s="1">
        <v>2036</v>
      </c>
      <c r="X1" s="1">
        <v>2037</v>
      </c>
      <c r="Y1" s="1">
        <v>2038</v>
      </c>
      <c r="Z1" s="1">
        <v>2039</v>
      </c>
      <c r="AA1" s="1">
        <v>2040</v>
      </c>
      <c r="AB1" s="1">
        <v>2041</v>
      </c>
      <c r="AC1" s="1">
        <v>2042</v>
      </c>
      <c r="AD1" s="1">
        <v>2043</v>
      </c>
      <c r="AE1" s="1">
        <v>2044</v>
      </c>
      <c r="AF1" s="1">
        <v>2045</v>
      </c>
      <c r="AG1" s="1">
        <v>2046</v>
      </c>
      <c r="AH1" s="1">
        <v>2047</v>
      </c>
      <c r="AI1" s="1">
        <v>2048</v>
      </c>
      <c r="AJ1" s="1">
        <v>2049</v>
      </c>
      <c r="AK1" s="1">
        <v>2050</v>
      </c>
    </row>
    <row r="2" spans="1:37" x14ac:dyDescent="0.2">
      <c r="A2" s="3" t="s">
        <v>1</v>
      </c>
      <c r="B2" s="10" cm="1">
        <f t="array" ref="B2:AK2">'[1]Transport. LDVs (Liao)'!$AZ796:$CI796</f>
        <v>23.387954011531569</v>
      </c>
      <c r="C2" s="4">
        <v>23.787417527002599</v>
      </c>
      <c r="D2" s="4">
        <v>24.041643563777178</v>
      </c>
      <c r="E2" s="4">
        <v>24.199510012473631</v>
      </c>
      <c r="F2" s="4">
        <v>24.341703593006059</v>
      </c>
      <c r="G2" s="4">
        <v>24.576607388972448</v>
      </c>
      <c r="H2" s="5">
        <v>25.02990296951663</v>
      </c>
      <c r="I2" s="5">
        <v>25.826935494612869</v>
      </c>
      <c r="J2" s="5">
        <v>27.071178535893168</v>
      </c>
      <c r="K2" s="5">
        <v>28.825296069956199</v>
      </c>
      <c r="L2" s="5">
        <v>31.100017140509582</v>
      </c>
      <c r="M2" s="5">
        <v>33.853065337489177</v>
      </c>
      <c r="N2" s="5">
        <v>36.998459063391778</v>
      </c>
      <c r="O2" s="5">
        <v>40.423166695568689</v>
      </c>
      <c r="P2" s="5">
        <v>44.00602934179642</v>
      </c>
      <c r="Q2" s="5">
        <v>47.63451411213493</v>
      </c>
      <c r="R2" s="5">
        <v>51.21612430806227</v>
      </c>
      <c r="S2" s="5">
        <v>54.683427182524312</v>
      </c>
      <c r="T2" s="5">
        <v>57.994078720514111</v>
      </c>
      <c r="U2" s="5">
        <v>61.128045713902694</v>
      </c>
      <c r="V2" s="5">
        <v>64.083571840427268</v>
      </c>
      <c r="W2" s="5">
        <v>66.872605207496321</v>
      </c>
      <c r="X2" s="5">
        <v>69.516049829273257</v>
      </c>
      <c r="Y2" s="5">
        <v>72.039209999390607</v>
      </c>
      <c r="Z2" s="5">
        <v>74.467852942345601</v>
      </c>
      <c r="AA2" s="5">
        <v>76.825249290702374</v>
      </c>
      <c r="AB2" s="5">
        <v>79.13036509594933</v>
      </c>
      <c r="AC2" s="5">
        <v>81.39716009061344</v>
      </c>
      <c r="AD2" s="5">
        <v>83.634774653168407</v>
      </c>
      <c r="AE2" s="5">
        <v>85.848302817133913</v>
      </c>
      <c r="AF2" s="5">
        <v>88.039846239188506</v>
      </c>
      <c r="AG2" s="5">
        <v>90.209600330329209</v>
      </c>
      <c r="AH2" s="5">
        <v>92.356804480209377</v>
      </c>
      <c r="AI2" s="5">
        <v>94.480470143180099</v>
      </c>
      <c r="AJ2" s="5">
        <v>96.579865488522501</v>
      </c>
      <c r="AK2" s="5">
        <v>98.654779808767131</v>
      </c>
    </row>
    <row r="3" spans="1:37" x14ac:dyDescent="0.2">
      <c r="A3" s="3" t="s">
        <v>2</v>
      </c>
      <c r="B3" s="10" cm="1">
        <f t="array" ref="B3:AK3">'[1]Transport. LDVs (Liao)'!$AZ798:$CI798</f>
        <v>11.076075528467417</v>
      </c>
      <c r="C3" s="5">
        <v>11.26530438871705</v>
      </c>
      <c r="D3" s="5">
        <v>11.385755262172069</v>
      </c>
      <c r="E3" s="5">
        <v>11.460568028724442</v>
      </c>
      <c r="F3" s="5">
        <v>11.527946330643196</v>
      </c>
      <c r="G3" s="5">
        <v>11.639211736875314</v>
      </c>
      <c r="H3" s="5">
        <v>11.853880305154341</v>
      </c>
      <c r="I3" s="5">
        <v>12.231310795047953</v>
      </c>
      <c r="J3" s="5">
        <v>12.820505863526453</v>
      </c>
      <c r="K3" s="5">
        <v>13.651144844378823</v>
      </c>
      <c r="L3" s="5">
        <v>14.728316370826571</v>
      </c>
      <c r="M3" s="5">
        <v>16.032010512065352</v>
      </c>
      <c r="N3" s="5">
        <v>17.521520714045458</v>
      </c>
      <c r="O3" s="5">
        <v>19.143328570040719</v>
      </c>
      <c r="P3" s="5">
        <v>20.840063500247989</v>
      </c>
      <c r="Q3" s="5">
        <v>22.558436062531378</v>
      </c>
      <c r="R3" s="5">
        <v>24.254641670979311</v>
      </c>
      <c r="S3" s="5">
        <v>25.89674236668052</v>
      </c>
      <c r="T3" s="5">
        <v>27.46467944951679</v>
      </c>
      <c r="U3" s="5">
        <v>28.94895901384022</v>
      </c>
      <c r="V3" s="5">
        <v>30.348742569321608</v>
      </c>
      <c r="W3" s="5">
        <v>31.669682345844588</v>
      </c>
      <c r="X3" s="5">
        <v>32.921672997051161</v>
      </c>
      <c r="Y3" s="5">
        <v>34.116694343470726</v>
      </c>
      <c r="Z3" s="5">
        <v>35.266946742434619</v>
      </c>
      <c r="AA3" s="5">
        <v>36.383449367050531</v>
      </c>
      <c r="AB3" s="5">
        <v>37.475183710419657</v>
      </c>
      <c r="AC3" s="5">
        <v>38.548761046943241</v>
      </c>
      <c r="AD3" s="5">
        <v>39.608510723558631</v>
      </c>
      <c r="AE3" s="5">
        <v>40.656846070784823</v>
      </c>
      <c r="AF3" s="5">
        <v>41.694763385977787</v>
      </c>
      <c r="AG3" s="5">
        <v>42.722356196268308</v>
      </c>
      <c r="AH3" s="5">
        <v>43.739265241824071</v>
      </c>
      <c r="AI3" s="5">
        <v>44.745023178389161</v>
      </c>
      <c r="AJ3" s="5">
        <v>45.739284168559735</v>
      </c>
      <c r="AK3" s="5">
        <v>46.721949018984709</v>
      </c>
    </row>
    <row r="4" spans="1:37" x14ac:dyDescent="0.2">
      <c r="A4" s="3" t="s">
        <v>3</v>
      </c>
      <c r="B4" s="10" cm="1">
        <f t="array" ref="B4:AK4">'[1]Transport. LDVs (Liao)'!$AZ799:$CI799</f>
        <v>2.4694688663207511</v>
      </c>
      <c r="C4" s="5">
        <v>2.5117920511906022</v>
      </c>
      <c r="D4" s="5">
        <v>2.5387914316127271</v>
      </c>
      <c r="E4" s="5">
        <v>2.5556215055933187</v>
      </c>
      <c r="F4" s="5">
        <v>2.5707954711139926</v>
      </c>
      <c r="G4" s="5">
        <v>2.5957519031976943</v>
      </c>
      <c r="H4" s="5">
        <v>2.6437588427333369</v>
      </c>
      <c r="I4" s="5">
        <v>2.7280523956742351</v>
      </c>
      <c r="J4" s="5">
        <v>2.8595613453915711</v>
      </c>
      <c r="K4" s="5">
        <v>3.0449062930704529</v>
      </c>
      <c r="L4" s="5">
        <v>3.2852241721682791</v>
      </c>
      <c r="M4" s="5">
        <v>3.5760539017667767</v>
      </c>
      <c r="N4" s="5">
        <v>3.9083180365821892</v>
      </c>
      <c r="O4" s="5">
        <v>4.2700819248656652</v>
      </c>
      <c r="P4" s="5">
        <v>4.6485520569993266</v>
      </c>
      <c r="Q4" s="5">
        <v>5.031845194829633</v>
      </c>
      <c r="R4" s="5">
        <v>5.4101932985338124</v>
      </c>
      <c r="S4" s="5">
        <v>5.7764745162919624</v>
      </c>
      <c r="T4" s="5">
        <v>6.1262159014671376</v>
      </c>
      <c r="U4" s="5">
        <v>6.4573002455277919</v>
      </c>
      <c r="V4" s="5">
        <v>6.7695403089175281</v>
      </c>
      <c r="W4" s="5">
        <v>7.0641961848503891</v>
      </c>
      <c r="X4" s="5">
        <v>7.3434740159030962</v>
      </c>
      <c r="Y4" s="5">
        <v>7.6100449908089498</v>
      </c>
      <c r="Z4" s="5">
        <v>7.8666295786903646</v>
      </c>
      <c r="AA4" s="5">
        <v>8.1156849479133903</v>
      </c>
      <c r="AB4" s="5">
        <v>8.3592139754655719</v>
      </c>
      <c r="AC4" s="5">
        <v>8.5986910601497843</v>
      </c>
      <c r="AD4" s="5">
        <v>8.8350818070348112</v>
      </c>
      <c r="AE4" s="5">
        <v>9.0689245908265619</v>
      </c>
      <c r="AF4" s="5">
        <v>9.3004418225562873</v>
      </c>
      <c r="AG4" s="5">
        <v>9.5296546147009238</v>
      </c>
      <c r="AH4" s="5">
        <v>9.756483112295788</v>
      </c>
      <c r="AI4" s="5">
        <v>9.9808233605695094</v>
      </c>
      <c r="AJ4" s="5">
        <v>10.202598488778689</v>
      </c>
      <c r="AK4" s="5">
        <v>10.4217866112858</v>
      </c>
    </row>
    <row r="5" spans="1:37" x14ac:dyDescent="0.2">
      <c r="A5" s="2" t="str" cm="1">
        <f t="array" ref="A5:A14">[2]Sheet!$A$2:$A$11</f>
        <v>Auto Sheet 5xxx</v>
      </c>
      <c r="B5" s="10" cm="1">
        <f t="array" ref="B5:AK5">'[1]Transport. LDVs (Liao)'!$AZ800:$CI800</f>
        <v>27.428597252104538</v>
      </c>
      <c r="C5">
        <v>27.869723614906285</v>
      </c>
      <c r="D5">
        <v>28.129913293507972</v>
      </c>
      <c r="E5">
        <v>28.23332522377099</v>
      </c>
      <c r="F5">
        <v>28.257959311001724</v>
      </c>
      <c r="G5">
        <v>28.303097284798703</v>
      </c>
      <c r="H5">
        <v>28.478415230539685</v>
      </c>
      <c r="I5">
        <v>28.895299872280127</v>
      </c>
      <c r="J5">
        <v>29.639450722930221</v>
      </c>
      <c r="K5">
        <v>30.752329881661812</v>
      </c>
      <c r="L5">
        <v>32.221094314503723</v>
      </c>
      <c r="M5">
        <v>33.980224067113255</v>
      </c>
      <c r="N5">
        <v>35.92480726382999</v>
      </c>
      <c r="O5">
        <v>37.931338144790686</v>
      </c>
      <c r="P5">
        <v>39.879589166162752</v>
      </c>
      <c r="Q5">
        <v>41.720736318016826</v>
      </c>
      <c r="R5">
        <v>43.353457920093902</v>
      </c>
      <c r="S5">
        <v>44.787974750896225</v>
      </c>
      <c r="T5">
        <v>46.043492142562705</v>
      </c>
      <c r="U5">
        <v>47.142313028663295</v>
      </c>
      <c r="V5">
        <v>48.084716851896623</v>
      </c>
      <c r="W5">
        <v>48.830915812293867</v>
      </c>
      <c r="X5">
        <v>49.296626236320236</v>
      </c>
      <c r="Y5">
        <v>49.365291924191474</v>
      </c>
      <c r="Z5">
        <v>48.913306902022128</v>
      </c>
      <c r="AA5">
        <v>47.839593620740416</v>
      </c>
      <c r="AB5">
        <v>46.090232703195831</v>
      </c>
      <c r="AC5">
        <v>43.671825393512961</v>
      </c>
      <c r="AD5">
        <v>40.651718469183656</v>
      </c>
      <c r="AE5">
        <v>37.147119887172479</v>
      </c>
      <c r="AF5">
        <v>33.307397446187039</v>
      </c>
      <c r="AG5">
        <v>29.334003286950605</v>
      </c>
      <c r="AH5">
        <v>25.346767908146333</v>
      </c>
      <c r="AI5">
        <v>21.465587046997641</v>
      </c>
      <c r="AJ5">
        <v>17.80338169626766</v>
      </c>
      <c r="AK5">
        <v>14.44184752317063</v>
      </c>
    </row>
    <row r="6" spans="1:37" x14ac:dyDescent="0.2">
      <c r="A6" s="2" t="str">
        <v>Auto Sheet HRC 5xxx Alloy 2</v>
      </c>
      <c r="B6" cm="1">
        <f t="array" ref="B6:AK6">'[1]Transport. LDVs (Liao)'!$AZ804:$CI804</f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0.44017791340622203</v>
      </c>
      <c r="AB6">
        <v>2.4272803093299888</v>
      </c>
      <c r="AC6">
        <v>5.1342153636528831</v>
      </c>
      <c r="AD6">
        <v>8.5025816267727024</v>
      </c>
      <c r="AE6">
        <v>12.417628713104584</v>
      </c>
      <c r="AF6">
        <v>16.727746155196066</v>
      </c>
      <c r="AG6">
        <v>21.310557814344229</v>
      </c>
      <c r="AH6">
        <v>25.981329092250554</v>
      </c>
      <c r="AI6">
        <v>30.574513522899409</v>
      </c>
      <c r="AJ6">
        <v>34.971880128857293</v>
      </c>
      <c r="AK6">
        <v>39.087109193997755</v>
      </c>
    </row>
    <row r="7" spans="1:37" x14ac:dyDescent="0.2">
      <c r="A7" s="2" t="str">
        <v>Auto Sheet Ford Low Mg</v>
      </c>
      <c r="B7" s="10" cm="1">
        <f t="array" ref="B7:AK7">'[1]Transport. LDVs (Liao)'!$AZ801:$CI801</f>
        <v>0</v>
      </c>
      <c r="C7">
        <v>1.6839218042133335E-2</v>
      </c>
      <c r="D7">
        <v>4.0191600079582716E-2</v>
      </c>
      <c r="E7">
        <v>9.0458763696966177E-2</v>
      </c>
      <c r="F7">
        <v>0.17786916225753716</v>
      </c>
      <c r="G7">
        <v>0.31953981411682547</v>
      </c>
      <c r="H7">
        <v>0.53866718405260627</v>
      </c>
      <c r="I7">
        <v>0.85713711811303606</v>
      </c>
      <c r="J7">
        <v>1.2968343225874239</v>
      </c>
      <c r="K7">
        <v>1.8773885740646301</v>
      </c>
      <c r="L7">
        <v>2.6143482588726727</v>
      </c>
      <c r="M7">
        <v>3.5174213783000323</v>
      </c>
      <c r="N7">
        <v>4.5890316616212701</v>
      </c>
      <c r="O7">
        <v>5.8235567692418178</v>
      </c>
      <c r="P7">
        <v>7.2075351989035727</v>
      </c>
      <c r="Q7">
        <v>8.6898436349492716</v>
      </c>
      <c r="R7">
        <v>10.266128502575572</v>
      </c>
      <c r="S7">
        <v>11.880276810635703</v>
      </c>
      <c r="T7">
        <v>13.48065213605908</v>
      </c>
      <c r="U7">
        <v>15.010534323535314</v>
      </c>
      <c r="V7">
        <v>16.411355984457025</v>
      </c>
      <c r="W7">
        <v>17.627082662577738</v>
      </c>
      <c r="X7">
        <v>18.609298721491278</v>
      </c>
      <c r="Y7">
        <v>19.32203549375927</v>
      </c>
      <c r="Z7">
        <v>19.745217648493078</v>
      </c>
      <c r="AA7">
        <v>19.875942330378667</v>
      </c>
      <c r="AB7">
        <v>19.727445340934857</v>
      </c>
      <c r="AC7">
        <v>19.326214789565704</v>
      </c>
      <c r="AD7">
        <v>18.708048456541871</v>
      </c>
      <c r="AE7">
        <v>17.913879475618167</v>
      </c>
      <c r="AF7">
        <v>16.986008155570754</v>
      </c>
      <c r="AG7">
        <v>15.940745877502431</v>
      </c>
      <c r="AH7">
        <v>14.837453641107032</v>
      </c>
      <c r="AI7">
        <v>13.718817659455729</v>
      </c>
      <c r="AJ7">
        <v>12.609524019738094</v>
      </c>
      <c r="AK7">
        <v>11.529084862514395</v>
      </c>
    </row>
    <row r="8" spans="1:37" x14ac:dyDescent="0.2">
      <c r="A8" s="2" t="str">
        <v>Auto Sheet Ford High Mg</v>
      </c>
      <c r="B8" s="10" cm="1">
        <f t="array" ref="B8:AK8">'[1]Transport. LDVs (Liao)'!$AZ802:$CI802</f>
        <v>0</v>
      </c>
      <c r="C8">
        <v>1.0531193505715559E-2</v>
      </c>
      <c r="D8">
        <v>2.5135699097388151E-2</v>
      </c>
      <c r="E8">
        <v>5.6573499069069826E-2</v>
      </c>
      <c r="F8">
        <v>0.11124359683231619</v>
      </c>
      <c r="G8">
        <v>0.19985924636965344</v>
      </c>
      <c r="H8">
        <v>0.33695003989119993</v>
      </c>
      <c r="I8">
        <v>0.53625228540208103</v>
      </c>
      <c r="J8">
        <v>0.81153974642986504</v>
      </c>
      <c r="K8">
        <v>1.1752175148778627</v>
      </c>
      <c r="L8">
        <v>1.6371687187241117</v>
      </c>
      <c r="M8">
        <v>2.2036293902237323</v>
      </c>
      <c r="N8">
        <v>2.8762537912088906</v>
      </c>
      <c r="O8">
        <v>3.6516101106935488</v>
      </c>
      <c r="P8">
        <v>4.5212940233544572</v>
      </c>
      <c r="Q8">
        <v>5.4532746636828939</v>
      </c>
      <c r="R8">
        <v>6.4447099908238341</v>
      </c>
      <c r="S8">
        <v>7.460335314056195</v>
      </c>
      <c r="T8">
        <v>8.4676414322069231</v>
      </c>
      <c r="U8">
        <v>9.4308955645546586</v>
      </c>
      <c r="V8">
        <v>10.313167066613859</v>
      </c>
      <c r="W8">
        <v>11.079081360615429</v>
      </c>
      <c r="X8">
        <v>11.69803372194712</v>
      </c>
      <c r="Y8">
        <v>12.147253988079651</v>
      </c>
      <c r="Z8">
        <v>12.414004335860927</v>
      </c>
      <c r="AA8">
        <v>12.496404552962741</v>
      </c>
      <c r="AB8">
        <v>12.40278706049979</v>
      </c>
      <c r="AC8">
        <v>12.149872205293413</v>
      </c>
      <c r="AD8">
        <v>11.760270204859491</v>
      </c>
      <c r="AE8">
        <v>11.259835061861329</v>
      </c>
      <c r="AF8">
        <v>10.675276769272422</v>
      </c>
      <c r="AG8">
        <v>10.016957126993546</v>
      </c>
      <c r="AH8">
        <v>9.3222699248325114</v>
      </c>
      <c r="AI8">
        <v>8.618098166212528</v>
      </c>
      <c r="AJ8">
        <v>7.9199882172114595</v>
      </c>
      <c r="AK8">
        <v>7.2402148102914046</v>
      </c>
    </row>
    <row r="9" spans="1:37" x14ac:dyDescent="0.2">
      <c r="A9" s="2" t="str">
        <v>Auto Sheet Ford HRC 5xxx Alloy 2</v>
      </c>
      <c r="B9" cm="1">
        <f t="array" ref="B9:AK9">'[1]Transport. LDVs (Liao)'!$AZ803:$CI803</f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3.6559049540722978E-5</v>
      </c>
      <c r="S9">
        <v>2.1802167207734054E-3</v>
      </c>
      <c r="T9">
        <v>2.1708452447644053E-2</v>
      </c>
      <c r="U9">
        <v>0.10527428968968988</v>
      </c>
      <c r="V9">
        <v>0.34603425477356292</v>
      </c>
      <c r="W9">
        <v>0.88919563466084806</v>
      </c>
      <c r="X9">
        <v>1.9225764575312685</v>
      </c>
      <c r="Y9">
        <v>3.6511465947228641</v>
      </c>
      <c r="Z9">
        <v>6.2615431154686982</v>
      </c>
      <c r="AA9">
        <v>9.4467389951880811</v>
      </c>
      <c r="AB9">
        <v>12.15458102411098</v>
      </c>
      <c r="AC9">
        <v>15.178722359570179</v>
      </c>
      <c r="AD9">
        <v>18.462528928613818</v>
      </c>
      <c r="AE9">
        <v>21.942729839719831</v>
      </c>
      <c r="AF9">
        <v>25.555022121212062</v>
      </c>
      <c r="AG9">
        <v>29.193885694295361</v>
      </c>
      <c r="AH9">
        <v>32.826577923478837</v>
      </c>
      <c r="AI9">
        <v>36.428021032279304</v>
      </c>
      <c r="AJ9">
        <v>39.962434569147391</v>
      </c>
      <c r="AK9">
        <v>43.402408699768152</v>
      </c>
    </row>
    <row r="10" spans="1:37" x14ac:dyDescent="0.2">
      <c r="A10" s="2" t="str">
        <v>Auto Sheet 6xxx 6005C</v>
      </c>
      <c r="B10" cm="1">
        <f t="array" ref="B10:AK10">0.5 * '[1]Transport. LDVs (Liao)'!$AZ805:$CI805</f>
        <v>36.054949167774843</v>
      </c>
      <c r="C10">
        <v>36.62059226258031</v>
      </c>
      <c r="D10">
        <v>36.942894216378761</v>
      </c>
      <c r="E10">
        <v>37.036405518315718</v>
      </c>
      <c r="F10">
        <v>36.995069851127184</v>
      </c>
      <c r="G10">
        <v>36.935129730076667</v>
      </c>
      <c r="H10">
        <v>36.9816826297209</v>
      </c>
      <c r="I10">
        <v>37.263781547950821</v>
      </c>
      <c r="J10">
        <v>37.877583269494409</v>
      </c>
      <c r="K10">
        <v>38.863944170571457</v>
      </c>
      <c r="L10">
        <v>40.196477342291196</v>
      </c>
      <c r="M10">
        <v>41.78460769640833</v>
      </c>
      <c r="N10">
        <v>43.491533423215273</v>
      </c>
      <c r="O10">
        <v>45.161573802948482</v>
      </c>
      <c r="P10">
        <v>46.648384902211831</v>
      </c>
      <c r="Q10">
        <v>47.837174489520649</v>
      </c>
      <c r="R10">
        <v>48.656715296289946</v>
      </c>
      <c r="S10">
        <v>49.080673777962716</v>
      </c>
      <c r="T10">
        <v>49.121505526518106</v>
      </c>
      <c r="U10">
        <v>48.821133939223351</v>
      </c>
      <c r="V10">
        <v>48.241200432351476</v>
      </c>
      <c r="W10">
        <v>47.454026186777796</v>
      </c>
      <c r="X10">
        <v>46.534629012102364</v>
      </c>
      <c r="Y10">
        <v>45.554035651875424</v>
      </c>
      <c r="Z10">
        <v>44.574200616893819</v>
      </c>
      <c r="AA10">
        <v>43.644787921995515</v>
      </c>
      <c r="AB10">
        <v>42.801855048964541</v>
      </c>
      <c r="AC10">
        <v>42.068211931660528</v>
      </c>
      <c r="AD10">
        <v>41.455026037905014</v>
      </c>
      <c r="AE10">
        <v>40.964157269289842</v>
      </c>
      <c r="AF10">
        <v>40.590738618387363</v>
      </c>
      <c r="AG10">
        <v>40.476326339295625</v>
      </c>
      <c r="AH10">
        <v>40.505602704633858</v>
      </c>
      <c r="AI10">
        <v>40.597769641850462</v>
      </c>
      <c r="AJ10">
        <v>40.743968976396758</v>
      </c>
      <c r="AK10">
        <v>40.936246607189304</v>
      </c>
    </row>
    <row r="11" spans="1:37" x14ac:dyDescent="0.2">
      <c r="A11" s="2" t="str">
        <v>Auto Sheet 6xxx 6016</v>
      </c>
      <c r="B11" cm="1">
        <f t="array" ref="B11:AK11">0.5 * '[1]Transport. LDVs (Liao)'!$AZ805:$CI805</f>
        <v>36.054949167774843</v>
      </c>
      <c r="C11">
        <v>36.62059226258031</v>
      </c>
      <c r="D11">
        <v>36.942894216378761</v>
      </c>
      <c r="E11">
        <v>37.036405518315718</v>
      </c>
      <c r="F11">
        <v>36.995069851127184</v>
      </c>
      <c r="G11">
        <v>36.935129730076667</v>
      </c>
      <c r="H11">
        <v>36.9816826297209</v>
      </c>
      <c r="I11">
        <v>37.263781547950821</v>
      </c>
      <c r="J11">
        <v>37.877583269494409</v>
      </c>
      <c r="K11">
        <v>38.863944170571457</v>
      </c>
      <c r="L11">
        <v>40.196477342291196</v>
      </c>
      <c r="M11">
        <v>41.78460769640833</v>
      </c>
      <c r="N11">
        <v>43.491533423215273</v>
      </c>
      <c r="O11">
        <v>45.161573802948482</v>
      </c>
      <c r="P11">
        <v>46.648384902211831</v>
      </c>
      <c r="Q11">
        <v>47.837174489520649</v>
      </c>
      <c r="R11">
        <v>48.656715296289946</v>
      </c>
      <c r="S11">
        <v>49.080673777962716</v>
      </c>
      <c r="T11">
        <v>49.121505526518106</v>
      </c>
      <c r="U11">
        <v>48.821133939223351</v>
      </c>
      <c r="V11">
        <v>48.241200432351476</v>
      </c>
      <c r="W11">
        <v>47.454026186777796</v>
      </c>
      <c r="X11">
        <v>46.534629012102364</v>
      </c>
      <c r="Y11">
        <v>45.554035651875424</v>
      </c>
      <c r="Z11">
        <v>44.574200616893819</v>
      </c>
      <c r="AA11">
        <v>43.644787921995515</v>
      </c>
      <c r="AB11">
        <v>42.801855048964541</v>
      </c>
      <c r="AC11">
        <v>42.068211931660528</v>
      </c>
      <c r="AD11">
        <v>41.455026037905014</v>
      </c>
      <c r="AE11">
        <v>40.964157269289842</v>
      </c>
      <c r="AF11">
        <v>40.590738618387363</v>
      </c>
      <c r="AG11">
        <v>40.476326339295625</v>
      </c>
      <c r="AH11">
        <v>40.505602704633858</v>
      </c>
      <c r="AI11">
        <v>40.597769641850462</v>
      </c>
      <c r="AJ11">
        <v>40.743968976396758</v>
      </c>
      <c r="AK11">
        <v>40.936246607189304</v>
      </c>
    </row>
    <row r="12" spans="1:37" x14ac:dyDescent="0.2">
      <c r="A12" s="2" t="str">
        <v>Auto Sheet Ford Low Cu</v>
      </c>
      <c r="B12" cm="1">
        <f t="array" ref="B12:AK12">'[1]Transport. LDVs (Liao)'!$AZ806:$CI806</f>
        <v>0</v>
      </c>
      <c r="C12">
        <v>4.9501955260370378E-2</v>
      </c>
      <c r="D12">
        <v>0.118150544995851</v>
      </c>
      <c r="E12">
        <v>0.26586745521795535</v>
      </c>
      <c r="F12">
        <v>0.52259125592622957</v>
      </c>
      <c r="G12">
        <v>0.93814040203832527</v>
      </c>
      <c r="H12">
        <v>1.5793475854144352</v>
      </c>
      <c r="I12">
        <v>2.5076083042689183</v>
      </c>
      <c r="J12">
        <v>3.7820216610910018</v>
      </c>
      <c r="K12">
        <v>5.4525615187224128</v>
      </c>
      <c r="L12">
        <v>7.555369917283751</v>
      </c>
      <c r="M12">
        <v>10.109091844960398</v>
      </c>
      <c r="N12">
        <v>13.112533455337749</v>
      </c>
      <c r="O12">
        <v>16.544097401555444</v>
      </c>
      <c r="P12">
        <v>20.363342697589918</v>
      </c>
      <c r="Q12">
        <v>24.514577134700247</v>
      </c>
      <c r="R12">
        <v>28.931882054591277</v>
      </c>
      <c r="S12">
        <v>33.544669312683716</v>
      </c>
      <c r="T12">
        <v>38.282887420605007</v>
      </c>
      <c r="U12">
        <v>43.081240919362344</v>
      </c>
      <c r="V12">
        <v>47.882122077961526</v>
      </c>
      <c r="W12">
        <v>52.637246195069395</v>
      </c>
      <c r="X12">
        <v>57.308176673260192</v>
      </c>
      <c r="Y12">
        <v>61.866014135566907</v>
      </c>
      <c r="Z12">
        <v>66.290535124974042</v>
      </c>
      <c r="AA12">
        <v>70.56902805272756</v>
      </c>
      <c r="AB12">
        <v>74.695016910807524</v>
      </c>
      <c r="AC12">
        <v>78.667005774422449</v>
      </c>
      <c r="AD12">
        <v>82.487324795314436</v>
      </c>
      <c r="AE12">
        <v>86.161121097542321</v>
      </c>
      <c r="AF12">
        <v>89.695509073782745</v>
      </c>
      <c r="AG12">
        <v>92.956789259860926</v>
      </c>
      <c r="AH12">
        <v>96.052088571240702</v>
      </c>
      <c r="AI12">
        <v>99.055700112690744</v>
      </c>
      <c r="AJ12">
        <v>101.97452056220443</v>
      </c>
      <c r="AK12">
        <v>104.8154081367508</v>
      </c>
    </row>
    <row r="13" spans="1:37" x14ac:dyDescent="0.2">
      <c r="A13" s="2" t="str">
        <v>Auto Sheet Ford High Cu</v>
      </c>
      <c r="B13" cm="1">
        <f t="array" ref="B13:AK13">'[1]Transport. LDVs (Liao)'!$AZ807:$CI807</f>
        <v>0</v>
      </c>
      <c r="C13">
        <v>5.0891858971780744E-2</v>
      </c>
      <c r="D13">
        <v>0.12146794690717813</v>
      </c>
      <c r="E13">
        <v>0.27340153071600859</v>
      </c>
      <c r="F13">
        <v>0.53764241058391704</v>
      </c>
      <c r="G13">
        <v>0.96606509247519579</v>
      </c>
      <c r="H13">
        <v>1.6291627919417593</v>
      </c>
      <c r="I13">
        <v>2.5939209781159653</v>
      </c>
      <c r="J13">
        <v>3.9279776295917093</v>
      </c>
      <c r="K13">
        <v>5.6928699703350922</v>
      </c>
      <c r="L13">
        <v>7.9383249461194652</v>
      </c>
      <c r="M13">
        <v>10.696512439515836</v>
      </c>
      <c r="N13">
        <v>13.977137206832083</v>
      </c>
      <c r="O13">
        <v>17.764657468509188</v>
      </c>
      <c r="P13">
        <v>22.018638002152048</v>
      </c>
      <c r="Q13">
        <v>26.583567310025519</v>
      </c>
      <c r="R13">
        <v>31.444237154630809</v>
      </c>
      <c r="S13">
        <v>36.428109010673786</v>
      </c>
      <c r="T13">
        <v>41.375414921226117</v>
      </c>
      <c r="U13">
        <v>46.110262639687576</v>
      </c>
      <c r="V13">
        <v>50.450444883311441</v>
      </c>
      <c r="W13">
        <v>54.220927887448724</v>
      </c>
      <c r="X13">
        <v>57.269790741782749</v>
      </c>
      <c r="Y13">
        <v>59.483593925499548</v>
      </c>
      <c r="Z13">
        <v>60.798524189584519</v>
      </c>
      <c r="AA13">
        <v>61.20469523423921</v>
      </c>
      <c r="AB13">
        <v>60.743050253397485</v>
      </c>
      <c r="AC13">
        <v>59.496302003183764</v>
      </c>
      <c r="AD13">
        <v>57.576461447018033</v>
      </c>
      <c r="AE13">
        <v>55.111612275685893</v>
      </c>
      <c r="AF13">
        <v>52.233986643390892</v>
      </c>
      <c r="AG13">
        <v>48.995643169946092</v>
      </c>
      <c r="AH13">
        <v>45.580617441148974</v>
      </c>
      <c r="AI13">
        <v>42.121133543102395</v>
      </c>
      <c r="AJ13">
        <v>38.69365035622009</v>
      </c>
      <c r="AK13">
        <v>35.358373595188233</v>
      </c>
    </row>
    <row r="14" spans="1:37" x14ac:dyDescent="0.2">
      <c r="A14" s="2" t="str">
        <v>Auto Sheet Ford HRC 6xxx Alloy 2</v>
      </c>
      <c r="B14" cm="1">
        <f t="array" ref="B14:AK14">'[1]Transport. LDVs (Liao)'!$AZ808:$CI808</f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9.3816946129886072E-2</v>
      </c>
      <c r="R14">
        <v>0.21983595471326803</v>
      </c>
      <c r="S14">
        <v>0.46593239939498837</v>
      </c>
      <c r="T14">
        <v>0.9064507966846288</v>
      </c>
      <c r="U14">
        <v>1.6369584003345397</v>
      </c>
      <c r="V14">
        <v>2.7685662163729532</v>
      </c>
      <c r="W14">
        <v>4.4167838892423319</v>
      </c>
      <c r="X14">
        <v>6.6863807005456817</v>
      </c>
      <c r="Y14">
        <v>9.6556573451662491</v>
      </c>
      <c r="Z14">
        <v>13.364184603208367</v>
      </c>
      <c r="AA14">
        <v>17.806978574503745</v>
      </c>
      <c r="AB14">
        <v>22.935931960249352</v>
      </c>
      <c r="AC14">
        <v>28.667247577964492</v>
      </c>
      <c r="AD14">
        <v>34.892430337652357</v>
      </c>
      <c r="AE14">
        <v>41.49023480957247</v>
      </c>
      <c r="AF14">
        <v>48.337528066771142</v>
      </c>
      <c r="AG14">
        <v>55.233440761401617</v>
      </c>
      <c r="AH14">
        <v>62.115100918191928</v>
      </c>
      <c r="AI14">
        <v>68.934539716259309</v>
      </c>
      <c r="AJ14">
        <v>75.623862305478539</v>
      </c>
      <c r="AK14">
        <v>82.131263565487004</v>
      </c>
    </row>
    <row r="15" spans="1:37" x14ac:dyDescent="0.2">
      <c r="A15" s="2" t="s">
        <v>4</v>
      </c>
      <c r="B15" cm="1">
        <f t="array" ref="B15:AK15">'[1]Transport. LDVs (Liao)'!$AZ809:$CI809</f>
        <v>2.4694688663207511</v>
      </c>
      <c r="C15">
        <v>2.5117920511906022</v>
      </c>
      <c r="D15">
        <v>2.5387914316127271</v>
      </c>
      <c r="E15">
        <v>2.5556215055933187</v>
      </c>
      <c r="F15">
        <v>2.5707954711139926</v>
      </c>
      <c r="G15">
        <v>2.5957519031976943</v>
      </c>
      <c r="H15">
        <v>2.6437588427333369</v>
      </c>
      <c r="I15">
        <v>2.7280523956742351</v>
      </c>
      <c r="J15">
        <v>2.8595613453915711</v>
      </c>
      <c r="K15">
        <v>3.0449062930704529</v>
      </c>
      <c r="L15">
        <v>3.2852241721682791</v>
      </c>
      <c r="M15">
        <v>3.5760539017667767</v>
      </c>
      <c r="N15">
        <v>3.9083180365821892</v>
      </c>
      <c r="O15">
        <v>4.2700819248656652</v>
      </c>
      <c r="P15">
        <v>4.6485520569993266</v>
      </c>
      <c r="Q15">
        <v>5.031845194829633</v>
      </c>
      <c r="R15">
        <v>5.4101932985338124</v>
      </c>
      <c r="S15">
        <v>5.7764745162919624</v>
      </c>
      <c r="T15">
        <v>6.1262159014671376</v>
      </c>
      <c r="U15">
        <v>6.4573002455277919</v>
      </c>
      <c r="V15">
        <v>6.7695403089175281</v>
      </c>
      <c r="W15">
        <v>7.0641961848503891</v>
      </c>
      <c r="X15">
        <v>7.3434740159030962</v>
      </c>
      <c r="Y15">
        <v>7.6100449908089498</v>
      </c>
      <c r="Z15">
        <v>7.8666295786903646</v>
      </c>
      <c r="AA15">
        <v>8.1156849479133903</v>
      </c>
      <c r="AB15">
        <v>8.3592139754655719</v>
      </c>
      <c r="AC15">
        <v>8.5986910601497843</v>
      </c>
      <c r="AD15">
        <v>8.8350818070348112</v>
      </c>
      <c r="AE15">
        <v>9.0689245908265619</v>
      </c>
      <c r="AF15">
        <v>9.3004418225562873</v>
      </c>
      <c r="AG15">
        <v>9.5296546147009238</v>
      </c>
      <c r="AH15">
        <v>9.756483112295788</v>
      </c>
      <c r="AI15">
        <v>9.9808233605695094</v>
      </c>
      <c r="AJ15">
        <v>10.202598488778689</v>
      </c>
      <c r="AK15">
        <v>10.4217866112858</v>
      </c>
    </row>
    <row r="16" spans="1:37" x14ac:dyDescent="0.2">
      <c r="A16" s="2"/>
    </row>
    <row r="17" spans="1:1" x14ac:dyDescent="0.2">
      <c r="A17" s="2"/>
    </row>
    <row r="18" spans="1:1" x14ac:dyDescent="0.2">
      <c r="A18" s="2"/>
    </row>
    <row r="19" spans="1:1" x14ac:dyDescent="0.2">
      <c r="A19" s="2"/>
    </row>
    <row r="20" spans="1:1" x14ac:dyDescent="0.2">
      <c r="A20" s="2"/>
    </row>
    <row r="21" spans="1:1" x14ac:dyDescent="0.2">
      <c r="A21" s="2"/>
    </row>
    <row r="22" spans="1:1" x14ac:dyDescent="0.2">
      <c r="A22" s="2"/>
    </row>
    <row r="23" spans="1:1" x14ac:dyDescent="0.2">
      <c r="A23" s="2"/>
    </row>
    <row r="24" spans="1:1" x14ac:dyDescent="0.2">
      <c r="A24" s="2"/>
    </row>
    <row r="25" spans="1:1" x14ac:dyDescent="0.2">
      <c r="A25" s="2"/>
    </row>
    <row r="26" spans="1:1" x14ac:dyDescent="0.2">
      <c r="A26" s="2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7FE4A-1E59-384D-AEAE-550062DAAC5E}">
  <dimension ref="A1:AK3"/>
  <sheetViews>
    <sheetView workbookViewId="0">
      <selection activeCell="B3" sqref="B3"/>
    </sheetView>
  </sheetViews>
  <sheetFormatPr baseColWidth="10" defaultRowHeight="15" x14ac:dyDescent="0.2"/>
  <cols>
    <col min="1" max="1" width="16.5" style="7" bestFit="1" customWidth="1"/>
    <col min="2" max="16384" width="10.83203125" style="7"/>
  </cols>
  <sheetData>
    <row r="1" spans="1:37" x14ac:dyDescent="0.2">
      <c r="A1" s="6" t="s">
        <v>0</v>
      </c>
      <c r="B1" s="6">
        <v>2015</v>
      </c>
      <c r="C1" s="6">
        <v>2016</v>
      </c>
      <c r="D1" s="6">
        <v>2017</v>
      </c>
      <c r="E1" s="6">
        <v>2018</v>
      </c>
      <c r="F1" s="6">
        <v>2019</v>
      </c>
      <c r="G1" s="6">
        <v>2020</v>
      </c>
      <c r="H1" s="6">
        <v>2021</v>
      </c>
      <c r="I1" s="6">
        <v>2022</v>
      </c>
      <c r="J1" s="6">
        <v>2023</v>
      </c>
      <c r="K1" s="6">
        <v>2024</v>
      </c>
      <c r="L1" s="6">
        <v>2025</v>
      </c>
      <c r="M1" s="6">
        <v>2026</v>
      </c>
      <c r="N1" s="6">
        <v>2027</v>
      </c>
      <c r="O1" s="6">
        <v>2028</v>
      </c>
      <c r="P1" s="6">
        <v>2029</v>
      </c>
      <c r="Q1" s="6">
        <v>2030</v>
      </c>
      <c r="R1" s="6">
        <v>2031</v>
      </c>
      <c r="S1" s="6">
        <v>2032</v>
      </c>
      <c r="T1" s="6">
        <v>2033</v>
      </c>
      <c r="U1" s="6">
        <v>2034</v>
      </c>
      <c r="V1" s="6">
        <v>2035</v>
      </c>
      <c r="W1" s="6">
        <v>2036</v>
      </c>
      <c r="X1" s="6">
        <v>2037</v>
      </c>
      <c r="Y1" s="6">
        <v>2038</v>
      </c>
      <c r="Z1" s="6">
        <v>2039</v>
      </c>
      <c r="AA1" s="6">
        <v>2040</v>
      </c>
      <c r="AB1" s="6">
        <v>2041</v>
      </c>
      <c r="AC1" s="6">
        <v>2042</v>
      </c>
      <c r="AD1" s="6">
        <v>2043</v>
      </c>
      <c r="AE1" s="6">
        <v>2044</v>
      </c>
      <c r="AF1" s="6">
        <v>2045</v>
      </c>
      <c r="AG1" s="6">
        <v>2046</v>
      </c>
      <c r="AH1" s="6">
        <v>2047</v>
      </c>
      <c r="AI1" s="6">
        <v>2048</v>
      </c>
      <c r="AJ1" s="6">
        <v>2049</v>
      </c>
      <c r="AK1" s="6">
        <v>2050</v>
      </c>
    </row>
    <row r="2" spans="1:37" x14ac:dyDescent="0.2">
      <c r="A2" s="8" t="s">
        <v>5</v>
      </c>
      <c r="B2" s="7" cm="1">
        <f t="array" ref="B2:AK2">'[1]Transport. LDVs (Liao)'!$AZ816:$CI816</f>
        <v>66.714224161596576</v>
      </c>
      <c r="C2" s="7">
        <v>69.085386309437595</v>
      </c>
      <c r="D2" s="7">
        <v>71.094590767109679</v>
      </c>
      <c r="E2" s="7">
        <v>72.837932496077613</v>
      </c>
      <c r="F2" s="7">
        <v>74.47271200036667</v>
      </c>
      <c r="G2" s="7">
        <v>76.196202777786951</v>
      </c>
      <c r="H2" s="7">
        <v>78.213280813629609</v>
      </c>
      <c r="I2" s="7">
        <v>80.697093817274208</v>
      </c>
      <c r="J2" s="7">
        <v>83.75343663944426</v>
      </c>
      <c r="K2" s="7">
        <v>87.400593382608747</v>
      </c>
      <c r="L2" s="7">
        <v>91.570607740490189</v>
      </c>
      <c r="M2" s="7">
        <v>96.129581671528399</v>
      </c>
      <c r="N2" s="7">
        <v>100.91100943221645</v>
      </c>
      <c r="O2" s="7">
        <v>105.75254037434956</v>
      </c>
      <c r="P2" s="7">
        <v>110.5262806137263</v>
      </c>
      <c r="Q2" s="7">
        <v>115.15689851021871</v>
      </c>
      <c r="R2" s="7">
        <v>119.625489769723</v>
      </c>
      <c r="S2" s="7">
        <v>123.96119109690221</v>
      </c>
      <c r="T2" s="7">
        <v>128.2263183242203</v>
      </c>
      <c r="U2" s="7">
        <v>132.50097757523389</v>
      </c>
      <c r="V2" s="7">
        <v>136.87036660927546</v>
      </c>
      <c r="W2" s="7">
        <v>141.41534538553356</v>
      </c>
      <c r="X2" s="7">
        <v>146.20571493074345</v>
      </c>
      <c r="Y2" s="7">
        <v>151.29565518464642</v>
      </c>
      <c r="Z2" s="7">
        <v>156.72111750691599</v>
      </c>
      <c r="AA2" s="7">
        <v>162.49914215637193</v>
      </c>
      <c r="AB2" s="7">
        <v>168.628984636371</v>
      </c>
      <c r="AC2" s="7">
        <v>175.09472141551549</v>
      </c>
      <c r="AD2" s="7">
        <v>181.86882038671047</v>
      </c>
      <c r="AE2" s="7">
        <v>188.91609245827289</v>
      </c>
      <c r="AF2" s="7">
        <v>196.1974962848787</v>
      </c>
      <c r="AG2" s="7">
        <v>203.67340788167309</v>
      </c>
      <c r="AH2" s="7">
        <v>211.3061383307836</v>
      </c>
      <c r="AI2" s="7">
        <v>219.06163914859388</v>
      </c>
      <c r="AJ2" s="7">
        <v>226.9104567536011</v>
      </c>
      <c r="AK2" s="7">
        <v>234.82806472665169</v>
      </c>
    </row>
    <row r="3" spans="1:37" x14ac:dyDescent="0.2">
      <c r="A3" s="8" t="s">
        <v>6</v>
      </c>
      <c r="B3" s="7" cm="1">
        <f t="array" ref="B3:AK3">'[1]Transport. LDVs (Liao)'!$AZ817:$CI817</f>
        <v>24.675794320781343</v>
      </c>
      <c r="C3" s="7">
        <v>25.552738624631321</v>
      </c>
      <c r="D3" s="7">
        <v>26.295822700570501</v>
      </c>
      <c r="E3" s="7">
        <v>26.94058720878192</v>
      </c>
      <c r="F3" s="7">
        <v>27.545209241382068</v>
      </c>
      <c r="G3" s="7">
        <v>28.182649410356809</v>
      </c>
      <c r="H3" s="7">
        <v>28.92867968229276</v>
      </c>
      <c r="I3" s="7">
        <v>29.84733658846983</v>
      </c>
      <c r="J3" s="7">
        <v>30.977745340747408</v>
      </c>
      <c r="K3" s="7">
        <v>32.32666500661724</v>
      </c>
      <c r="L3" s="7">
        <v>33.868958718149507</v>
      </c>
      <c r="M3" s="7">
        <v>35.555101006787588</v>
      </c>
      <c r="N3" s="7">
        <v>37.323506361080476</v>
      </c>
      <c r="O3" s="7">
        <v>39.114126498490734</v>
      </c>
      <c r="P3" s="7">
        <v>40.87965868597626</v>
      </c>
      <c r="Q3" s="7">
        <v>42.59224307059668</v>
      </c>
      <c r="R3" s="7">
        <v>44.244892171942595</v>
      </c>
      <c r="S3" s="7">
        <v>45.848388475626763</v>
      </c>
      <c r="T3" s="7">
        <v>47.42578664900136</v>
      </c>
      <c r="U3" s="7">
        <v>49.006720895381306</v>
      </c>
      <c r="V3" s="7">
        <v>50.622707494932627</v>
      </c>
      <c r="W3" s="7">
        <v>52.30365682023772</v>
      </c>
      <c r="X3" s="7">
        <v>54.075387313408385</v>
      </c>
      <c r="Y3" s="7">
        <v>55.957938233453021</v>
      </c>
      <c r="Z3" s="7">
        <v>57.964605506336</v>
      </c>
      <c r="AA3" s="7">
        <v>60.101689614992992</v>
      </c>
      <c r="AB3" s="7">
        <v>62.368912546771277</v>
      </c>
      <c r="AC3" s="7">
        <v>64.760381852624477</v>
      </c>
      <c r="AD3" s="7">
        <v>67.265911488170019</v>
      </c>
      <c r="AE3" s="7">
        <v>69.872483553656707</v>
      </c>
      <c r="AF3" s="7">
        <v>72.565655660949687</v>
      </c>
      <c r="AG3" s="7">
        <v>75.330770296282793</v>
      </c>
      <c r="AH3" s="7">
        <v>78.153885996497934</v>
      </c>
      <c r="AI3" s="7">
        <v>81.022408267693152</v>
      </c>
      <c r="AJ3" s="7">
        <v>83.925442311719436</v>
      </c>
      <c r="AK3" s="7">
        <v>86.853916130448908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15834-EB71-FC4C-82C9-14795A6AED5C}">
  <dimension ref="A1:AK3"/>
  <sheetViews>
    <sheetView workbookViewId="0">
      <selection activeCell="D9" sqref="D9"/>
    </sheetView>
  </sheetViews>
  <sheetFormatPr baseColWidth="10" defaultRowHeight="15" x14ac:dyDescent="0.2"/>
  <cols>
    <col min="1" max="1" width="15.5" style="7" bestFit="1" customWidth="1"/>
    <col min="2" max="16384" width="10.83203125" style="7"/>
  </cols>
  <sheetData>
    <row r="1" spans="1:37" x14ac:dyDescent="0.2">
      <c r="A1" s="6" t="s">
        <v>0</v>
      </c>
      <c r="B1" s="6">
        <v>2015</v>
      </c>
      <c r="C1" s="6">
        <v>2016</v>
      </c>
      <c r="D1" s="6">
        <v>2017</v>
      </c>
      <c r="E1" s="6">
        <v>2018</v>
      </c>
      <c r="F1" s="6">
        <v>2019</v>
      </c>
      <c r="G1" s="6">
        <v>2020</v>
      </c>
      <c r="H1" s="6">
        <v>2021</v>
      </c>
      <c r="I1" s="6">
        <v>2022</v>
      </c>
      <c r="J1" s="6">
        <v>2023</v>
      </c>
      <c r="K1" s="6">
        <v>2024</v>
      </c>
      <c r="L1" s="6">
        <v>2025</v>
      </c>
      <c r="M1" s="6">
        <v>2026</v>
      </c>
      <c r="N1" s="6">
        <v>2027</v>
      </c>
      <c r="O1" s="6">
        <v>2028</v>
      </c>
      <c r="P1" s="6">
        <v>2029</v>
      </c>
      <c r="Q1" s="6">
        <v>2030</v>
      </c>
      <c r="R1" s="6">
        <v>2031</v>
      </c>
      <c r="S1" s="6">
        <v>2032</v>
      </c>
      <c r="T1" s="6">
        <v>2033</v>
      </c>
      <c r="U1" s="6">
        <v>2034</v>
      </c>
      <c r="V1" s="6">
        <v>2035</v>
      </c>
      <c r="W1" s="6">
        <v>2036</v>
      </c>
      <c r="X1" s="6">
        <v>2037</v>
      </c>
      <c r="Y1" s="6">
        <v>2038</v>
      </c>
      <c r="Z1" s="6">
        <v>2039</v>
      </c>
      <c r="AA1" s="6">
        <v>2040</v>
      </c>
      <c r="AB1" s="6">
        <v>2041</v>
      </c>
      <c r="AC1" s="6">
        <v>2042</v>
      </c>
      <c r="AD1" s="6">
        <v>2043</v>
      </c>
      <c r="AE1" s="6">
        <v>2044</v>
      </c>
      <c r="AF1" s="6">
        <v>2045</v>
      </c>
      <c r="AG1" s="6">
        <v>2046</v>
      </c>
      <c r="AH1" s="6">
        <v>2047</v>
      </c>
      <c r="AI1" s="6">
        <v>2048</v>
      </c>
      <c r="AJ1" s="6">
        <v>2049</v>
      </c>
      <c r="AK1" s="6">
        <v>2050</v>
      </c>
    </row>
    <row r="2" spans="1:37" x14ac:dyDescent="0.2">
      <c r="A2" s="8" t="s">
        <v>7</v>
      </c>
      <c r="B2" s="7" cm="1">
        <f t="array" ref="B2:AK2">'[1]Transport. LDVs (Liao)'!$AZ822:$CI822</f>
        <v>25.575323057585102</v>
      </c>
      <c r="C2" s="7">
        <v>26.11957654361666</v>
      </c>
      <c r="D2" s="7">
        <v>26.406749483445729</v>
      </c>
      <c r="E2" s="7">
        <v>26.46366596208405</v>
      </c>
      <c r="F2" s="7">
        <v>26.341155256900379</v>
      </c>
      <c r="G2" s="7">
        <v>26.106193767041241</v>
      </c>
      <c r="H2" s="7">
        <v>25.830788385578181</v>
      </c>
      <c r="I2" s="7">
        <v>25.58002205987448</v>
      </c>
      <c r="J2" s="7">
        <v>25.40234832962815</v>
      </c>
      <c r="K2" s="7">
        <v>25.32464710411756</v>
      </c>
      <c r="L2" s="7">
        <v>25.352741627042512</v>
      </c>
      <c r="M2" s="7">
        <v>25.476215523212371</v>
      </c>
      <c r="N2" s="7">
        <v>25.67581200718541</v>
      </c>
      <c r="O2" s="7">
        <v>25.931235293611529</v>
      </c>
      <c r="P2" s="7">
        <v>26.22733782484292</v>
      </c>
      <c r="Q2" s="7">
        <v>26.557639295900017</v>
      </c>
      <c r="R2" s="7">
        <v>26.924900896422599</v>
      </c>
      <c r="S2" s="7">
        <v>27.339275526737659</v>
      </c>
      <c r="T2" s="7">
        <v>27.815286278086329</v>
      </c>
      <c r="U2" s="7">
        <v>28.368867232196649</v>
      </c>
      <c r="V2" s="7">
        <v>29.015093821318871</v>
      </c>
      <c r="W2" s="7">
        <v>29.766663503044519</v>
      </c>
      <c r="X2" s="7">
        <v>30.63295082293461</v>
      </c>
      <c r="Y2" s="7">
        <v>31.619476842377843</v>
      </c>
      <c r="Z2" s="7">
        <v>32.727722053549385</v>
      </c>
      <c r="AA2" s="7">
        <v>33.955264345208874</v>
      </c>
      <c r="AB2" s="7">
        <v>35.296218330589625</v>
      </c>
      <c r="AC2" s="7">
        <v>36.741915121977556</v>
      </c>
      <c r="AD2" s="7">
        <v>38.281727072756581</v>
      </c>
      <c r="AE2" s="7">
        <v>39.903928506399161</v>
      </c>
      <c r="AF2" s="7">
        <v>41.596493933943741</v>
      </c>
      <c r="AG2" s="7">
        <v>43.347762777098019</v>
      </c>
      <c r="AH2" s="7">
        <v>45.146933411613972</v>
      </c>
      <c r="AI2" s="7">
        <v>46.984379870067414</v>
      </c>
      <c r="AJ2" s="7">
        <v>48.851808202955795</v>
      </c>
      <c r="AK2" s="7">
        <v>50.742282773176058</v>
      </c>
    </row>
    <row r="3" spans="1:37" x14ac:dyDescent="0.2">
      <c r="A3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367CB-0904-B443-8955-68E6808A094C}">
  <dimension ref="A1:AK4"/>
  <sheetViews>
    <sheetView workbookViewId="0">
      <selection activeCell="B3" sqref="B2:B4"/>
    </sheetView>
  </sheetViews>
  <sheetFormatPr baseColWidth="10" defaultRowHeight="15" x14ac:dyDescent="0.2"/>
  <cols>
    <col min="1" max="1" width="16" style="7" bestFit="1" customWidth="1"/>
    <col min="2" max="16384" width="10.83203125" style="7"/>
  </cols>
  <sheetData>
    <row r="1" spans="1:37" x14ac:dyDescent="0.2">
      <c r="A1" s="6" t="s">
        <v>0</v>
      </c>
      <c r="B1" s="6">
        <v>2015</v>
      </c>
      <c r="C1" s="6">
        <v>2016</v>
      </c>
      <c r="D1" s="6">
        <v>2017</v>
      </c>
      <c r="E1" s="6">
        <v>2018</v>
      </c>
      <c r="F1" s="6">
        <v>2019</v>
      </c>
      <c r="G1" s="6">
        <v>2020</v>
      </c>
      <c r="H1" s="6">
        <v>2021</v>
      </c>
      <c r="I1" s="6">
        <v>2022</v>
      </c>
      <c r="J1" s="6">
        <v>2023</v>
      </c>
      <c r="K1" s="6">
        <v>2024</v>
      </c>
      <c r="L1" s="6">
        <v>2025</v>
      </c>
      <c r="M1" s="6">
        <v>2026</v>
      </c>
      <c r="N1" s="6">
        <v>2027</v>
      </c>
      <c r="O1" s="6">
        <v>2028</v>
      </c>
      <c r="P1" s="6">
        <v>2029</v>
      </c>
      <c r="Q1" s="6">
        <v>2030</v>
      </c>
      <c r="R1" s="6">
        <v>2031</v>
      </c>
      <c r="S1" s="6">
        <v>2032</v>
      </c>
      <c r="T1" s="6">
        <v>2033</v>
      </c>
      <c r="U1" s="6">
        <v>2034</v>
      </c>
      <c r="V1" s="6">
        <v>2035</v>
      </c>
      <c r="W1" s="6">
        <v>2036</v>
      </c>
      <c r="X1" s="6">
        <v>2037</v>
      </c>
      <c r="Y1" s="6">
        <v>2038</v>
      </c>
      <c r="Z1" s="6">
        <v>2039</v>
      </c>
      <c r="AA1" s="6">
        <v>2040</v>
      </c>
      <c r="AB1" s="6">
        <v>2041</v>
      </c>
      <c r="AC1" s="6">
        <v>2042</v>
      </c>
      <c r="AD1" s="6">
        <v>2043</v>
      </c>
      <c r="AE1" s="6">
        <v>2044</v>
      </c>
      <c r="AF1" s="6">
        <v>2045</v>
      </c>
      <c r="AG1" s="6">
        <v>2046</v>
      </c>
      <c r="AH1" s="6">
        <v>2047</v>
      </c>
      <c r="AI1" s="6">
        <v>2048</v>
      </c>
      <c r="AJ1" s="6">
        <v>2049</v>
      </c>
      <c r="AK1" s="6">
        <v>2050</v>
      </c>
    </row>
    <row r="2" spans="1:37" x14ac:dyDescent="0.2">
      <c r="A2" s="9" t="s">
        <v>8</v>
      </c>
      <c r="B2" s="7" cm="1">
        <f t="array" ref="B2:AK2">'[1]Transport. LDVs (Liao)'!$AZ793:$CI793</f>
        <v>156.94579810235911</v>
      </c>
      <c r="C2" s="7">
        <v>159.57889884192923</v>
      </c>
      <c r="D2" s="7">
        <v>160.74825228304857</v>
      </c>
      <c r="E2" s="7">
        <v>160.67368451774306</v>
      </c>
      <c r="F2" s="7">
        <v>159.70147383689667</v>
      </c>
      <c r="G2" s="7">
        <v>158.24854250262811</v>
      </c>
      <c r="H2" s="7">
        <v>156.73241800501904</v>
      </c>
      <c r="I2" s="7">
        <v>155.50033228241733</v>
      </c>
      <c r="J2" s="7">
        <v>154.77442840866533</v>
      </c>
      <c r="K2" s="7">
        <v>154.62731686797127</v>
      </c>
      <c r="L2" s="7">
        <v>154.99173402483575</v>
      </c>
      <c r="M2" s="7">
        <v>155.69716466268338</v>
      </c>
      <c r="N2" s="7">
        <v>156.52178743474536</v>
      </c>
      <c r="O2" s="7">
        <v>157.24556180687881</v>
      </c>
      <c r="P2" s="7">
        <v>157.69204887770474</v>
      </c>
      <c r="Q2" s="7">
        <v>157.75263358799828</v>
      </c>
      <c r="R2" s="7">
        <v>157.39206927076995</v>
      </c>
      <c r="S2" s="7">
        <v>156.63880904401577</v>
      </c>
      <c r="T2" s="7">
        <v>155.56697178248629</v>
      </c>
      <c r="U2" s="7">
        <v>154.2767170316182</v>
      </c>
      <c r="V2" s="7">
        <v>152.87715525878937</v>
      </c>
      <c r="W2" s="7">
        <v>151.4732440738421</v>
      </c>
      <c r="X2" s="7">
        <v>150.15665209718165</v>
      </c>
      <c r="Y2" s="7">
        <v>149.00012802331594</v>
      </c>
      <c r="Z2" s="7">
        <v>148.05489645589444</v>
      </c>
      <c r="AA2" s="7">
        <v>147.35061244449588</v>
      </c>
      <c r="AB2" s="7">
        <v>146.89733872627522</v>
      </c>
      <c r="AC2" s="7">
        <v>146.68891760329376</v>
      </c>
      <c r="AD2" s="7">
        <v>146.7070716825653</v>
      </c>
      <c r="AE2" s="7">
        <v>146.92562089676193</v>
      </c>
      <c r="AF2" s="7">
        <v>147.31433381957652</v>
      </c>
      <c r="AG2" s="7">
        <v>147.84210351338771</v>
      </c>
      <c r="AH2" s="7">
        <v>148.47930830129906</v>
      </c>
      <c r="AI2" s="7">
        <v>149.19935886459626</v>
      </c>
      <c r="AJ2" s="7">
        <v>149.97952850554833</v>
      </c>
      <c r="AK2" s="7">
        <v>150.80121486190609</v>
      </c>
    </row>
    <row r="3" spans="1:37" x14ac:dyDescent="0.2">
      <c r="A3" s="9" t="s">
        <v>9</v>
      </c>
      <c r="B3" s="7" cm="1">
        <f t="array" ref="B3:AK3">'[1]Transport. LDVs (Liao)'!$AZ794:$CI794</f>
        <v>313.8917187309064</v>
      </c>
      <c r="C3" s="7">
        <v>319.1582222650685</v>
      </c>
      <c r="D3" s="7">
        <v>321.49719836720311</v>
      </c>
      <c r="E3" s="7">
        <v>321.3483017937794</v>
      </c>
      <c r="F3" s="7">
        <v>319.40409425211362</v>
      </c>
      <c r="G3" s="7">
        <v>316.49842555973839</v>
      </c>
      <c r="H3" s="7">
        <v>313.46635339151123</v>
      </c>
      <c r="I3" s="7">
        <v>311.00234194490463</v>
      </c>
      <c r="J3" s="7">
        <v>309.5506757642861</v>
      </c>
      <c r="K3" s="7">
        <v>309.25657229274901</v>
      </c>
      <c r="L3" s="7">
        <v>309.98550027330282</v>
      </c>
      <c r="M3" s="7">
        <v>311.39642494964244</v>
      </c>
      <c r="N3" s="7">
        <v>313.04569995287841</v>
      </c>
      <c r="O3" s="7">
        <v>314.49324220051989</v>
      </c>
      <c r="P3" s="7">
        <v>315.38617426354381</v>
      </c>
      <c r="Q3" s="7">
        <v>315.5072693274069</v>
      </c>
      <c r="R3" s="7">
        <v>314.78603945385521</v>
      </c>
      <c r="S3" s="7">
        <v>313.27939760938801</v>
      </c>
      <c r="T3" s="7">
        <v>311.13558868890209</v>
      </c>
      <c r="U3" s="7">
        <v>308.55493813184023</v>
      </c>
      <c r="V3" s="7">
        <v>305.75567214624914</v>
      </c>
      <c r="W3" s="7">
        <v>302.94771021668652</v>
      </c>
      <c r="X3" s="7">
        <v>300.31439240267281</v>
      </c>
      <c r="Y3" s="7">
        <v>298.00121797941006</v>
      </c>
      <c r="Z3" s="7">
        <v>296.11063729424052</v>
      </c>
      <c r="AA3" s="7">
        <v>294.70196115763736</v>
      </c>
      <c r="AB3" s="7">
        <v>293.79531514456687</v>
      </c>
      <c r="AC3" s="7">
        <v>293.37838405679884</v>
      </c>
      <c r="AD3" s="7">
        <v>293.4146127370517</v>
      </c>
      <c r="AE3" s="7">
        <v>293.85164066771165</v>
      </c>
      <c r="AF3" s="7">
        <v>294.62900455500062</v>
      </c>
      <c r="AG3" s="7">
        <v>295.68448998173432</v>
      </c>
      <c r="AH3" s="7">
        <v>296.95885289625755</v>
      </c>
      <c r="AI3" s="7">
        <v>298.39891396000087</v>
      </c>
      <c r="AJ3" s="7">
        <v>299.95921917212769</v>
      </c>
      <c r="AK3" s="7">
        <v>301.60256314192912</v>
      </c>
    </row>
    <row r="4" spans="1:37" x14ac:dyDescent="0.2">
      <c r="A4" s="8" t="s">
        <v>10</v>
      </c>
      <c r="B4" s="7" cm="1">
        <f t="array" ref="B4:AK4">'[1]Transport. LDVs (Liao)'!$AZ795:$CI795</f>
        <v>650.20345697589062</v>
      </c>
      <c r="C4" s="7">
        <v>661.11245983066874</v>
      </c>
      <c r="D4" s="7">
        <v>665.95732613976088</v>
      </c>
      <c r="E4" s="7">
        <v>665.6487695547271</v>
      </c>
      <c r="F4" s="7">
        <v>661.62138242161586</v>
      </c>
      <c r="G4" s="7">
        <v>655.60242290020301</v>
      </c>
      <c r="H4" s="7">
        <v>649.32165109502353</v>
      </c>
      <c r="I4" s="7">
        <v>644.21759984445373</v>
      </c>
      <c r="J4" s="7">
        <v>641.21057574381939</v>
      </c>
      <c r="K4" s="7">
        <v>640.60139377655855</v>
      </c>
      <c r="L4" s="7">
        <v>642.11138944687514</v>
      </c>
      <c r="M4" s="7">
        <v>645.03414124225355</v>
      </c>
      <c r="N4" s="7">
        <v>648.45067385313405</v>
      </c>
      <c r="O4" s="7">
        <v>651.44938945109118</v>
      </c>
      <c r="P4" s="7">
        <v>653.29932395364494</v>
      </c>
      <c r="Q4" s="7">
        <v>653.55049617631289</v>
      </c>
      <c r="R4" s="7">
        <v>652.05687811744156</v>
      </c>
      <c r="S4" s="7">
        <v>648.93634074950864</v>
      </c>
      <c r="T4" s="7">
        <v>644.49594244531886</v>
      </c>
      <c r="U4" s="7">
        <v>639.1506256742548</v>
      </c>
      <c r="V4" s="7">
        <v>633.35241726425897</v>
      </c>
      <c r="W4" s="7">
        <v>627.5361415941793</v>
      </c>
      <c r="X4" s="7">
        <v>622.08157102024768</v>
      </c>
      <c r="Y4" s="7">
        <v>617.29009753529078</v>
      </c>
      <c r="Z4" s="7">
        <v>613.37394324033983</v>
      </c>
      <c r="AA4" s="7">
        <v>610.45597203691125</v>
      </c>
      <c r="AB4" s="7">
        <v>608.57788024092656</v>
      </c>
      <c r="AC4" s="7">
        <v>607.71416508798825</v>
      </c>
      <c r="AD4" s="7">
        <v>607.78911319768918</v>
      </c>
      <c r="AE4" s="7">
        <v>608.69427083416531</v>
      </c>
      <c r="AF4" s="7">
        <v>610.30439916821865</v>
      </c>
      <c r="AG4" s="7">
        <v>612.49063075755203</v>
      </c>
      <c r="AH4" s="7">
        <v>615.13025069758851</v>
      </c>
      <c r="AI4" s="7">
        <v>618.11310536859651</v>
      </c>
      <c r="AJ4" s="7">
        <v>621.34504279073383</v>
      </c>
      <c r="AK4" s="7">
        <v>624.74899644283494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</vt:lpstr>
      <vt:lpstr>Extrusion</vt:lpstr>
      <vt:lpstr>Forgings</vt:lpstr>
      <vt:lpstr>Castings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Tsai, Alissa</cp:lastModifiedBy>
  <dcterms:created xsi:type="dcterms:W3CDTF">2025-08-11T15:54:38Z</dcterms:created>
  <dcterms:modified xsi:type="dcterms:W3CDTF">2026-03-09T17:08:51Z</dcterms:modified>
</cp:coreProperties>
</file>