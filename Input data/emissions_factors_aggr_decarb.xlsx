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5 University of Michigan/Aluminum optimization/"/>
    </mc:Choice>
  </mc:AlternateContent>
  <xr:revisionPtr revIDLastSave="0" documentId="13_ncr:1_{C316F919-46B1-AA43-A3F4-B55F0E6DC208}" xr6:coauthVersionLast="47" xr6:coauthVersionMax="47" xr10:uidLastSave="{00000000-0000-0000-0000-000000000000}"/>
  <bookViews>
    <workbookView xWindow="25680" yWindow="660" windowWidth="25360" windowHeight="26280" xr2:uid="{2426F6E9-EC77-9146-B2F9-3235E2B4DD2A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H12" i="1" l="1" a="1"/>
  <c r="H12" i="1" s="1"/>
  <c r="B9" i="1" l="1" a="1"/>
  <c r="B9" i="1" s="1"/>
  <c r="B14" i="1" l="1" a="1"/>
  <c r="B14" i="1" s="1"/>
  <c r="B15" i="1" a="1"/>
  <c r="B15" i="1" s="1"/>
  <c r="B13" i="1" a="1"/>
  <c r="B13" i="1" s="1"/>
  <c r="B10" i="1" a="1"/>
  <c r="B10" i="1" s="1"/>
  <c r="B11" i="1" s="1" a="1"/>
  <c r="B11" i="1" s="1"/>
  <c r="B2" i="1" a="1"/>
  <c r="B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tc={43EB7C4C-7727-7A43-A2CA-9BA44045FE25}</author>
  </authors>
  <commentList>
    <comment ref="B1" authorId="0" shapeId="0" xr:uid="{43EB7C4C-7727-7A43-A2CA-9BA44045FE25}">
      <text>
        <t>[Threaded comment]
Your version of Excel allows you to read this threaded comment; however, any edits to it will get removed if the file is opened in a newer version of Excel. Learn more: https://go.microsoft.com/fwlink/?linkid=870924
Comment:
    Emissions factor [kgCO2eq/kt-out]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<sst xmlns="http://schemas.openxmlformats.org/spreadsheetml/2006/main" count="15" uniqueCount="15">
  <si>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Process</t>
  </si>
  <si>
    <t>Primary Al production</t>
  </si>
  <si>
    <t>Primary Cu production</t>
  </si>
  <si>
    <t>Primary Mg production</t>
  </si>
  <si>
    <t>Primary Mn production</t>
  </si>
  <si>
    <t>Primary Si production</t>
  </si>
  <si>
    <t>Primary Fe production</t>
  </si>
  <si>
    <t>Primary Zn production</t>
  </si>
  <si>
    <t>Scrap preparation</t>
  </si>
  <si>
    <t>Secondary Al production</t>
  </si>
  <si>
    <t>Fractional crystallization</t>
  </si>
  <si>
    <t>LIBS</t>
  </si>
  <si>
    <t>Sheet rolling</t>
  </si>
  <si>
    <t>Sheet blanking &amp; stamping</t>
  </si>
  <si>
    <t>Vehicle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</si>
</sst>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5%20University%20of%20Michigan/Aluminum%20optimization/Internal%20CSP%20steel%20and%20aluminum%20calculations.xlsx" TargetMode="External"/><Relationship Id="rId1" Type="http://schemas.openxmlformats.org/officeDocument/2006/relationships/externalLinkPath" Target="Internal%20CSP%20steel%20and%20aluminum%20calcul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wnloads/2024%20electricity%20and%20Natural%20Gas%20emission%20factors.xlsx" TargetMode="External"/><Relationship Id="rId1" Type="http://schemas.openxmlformats.org/officeDocument/2006/relationships/externalLinkPath" Target="/Users/alissatsai/Downloads/2024%20electricity%20and%20Natural%20Gas%20emission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arb_trajectories"/>
      <sheetName val="Aluminum_Delivered Energy"/>
      <sheetName val="Primary Energy &amp;Emission Factor"/>
      <sheetName val="Steel"/>
      <sheetName val="Steel (State of Art - SOR)"/>
      <sheetName val="Steel scenarios"/>
    </sheetNames>
    <sheetDataSet>
      <sheetData sheetId="0">
        <row r="36">
          <cell r="B36">
            <v>8.51</v>
          </cell>
          <cell r="C36">
            <v>8.4223165786215812</v>
          </cell>
          <cell r="D36">
            <v>8.3346331572431627</v>
          </cell>
          <cell r="E36">
            <v>8.2469497358647441</v>
          </cell>
          <cell r="F36">
            <v>8.1592663144863256</v>
          </cell>
          <cell r="G36">
            <v>8.0715828931079106</v>
          </cell>
          <cell r="H36">
            <v>8.0715828931079106</v>
          </cell>
          <cell r="I36">
            <v>7.9436780149699384</v>
          </cell>
          <cell r="J36">
            <v>7.816241792625183</v>
          </cell>
          <cell r="K36">
            <v>7.6667224910792848</v>
          </cell>
          <cell r="L36">
            <v>7.1765414620552708</v>
          </cell>
          <cell r="M36">
            <v>6.6566838355852136</v>
          </cell>
          <cell r="N36">
            <v>6.1098789844058592</v>
          </cell>
          <cell r="O36">
            <v>5.5482644119582627</v>
          </cell>
          <cell r="P36">
            <v>4.8632236706315419</v>
          </cell>
          <cell r="Q36">
            <v>4.1658054006140572</v>
          </cell>
          <cell r="R36">
            <v>3.9479971684858062</v>
          </cell>
          <cell r="S36">
            <v>3.7322507686642763</v>
          </cell>
          <cell r="T36">
            <v>3.5134214150450602</v>
          </cell>
          <cell r="U36">
            <v>3.2846849935417124</v>
          </cell>
          <cell r="V36">
            <v>3.0756196898610204</v>
          </cell>
          <cell r="W36">
            <v>2.8639374820915777</v>
          </cell>
          <cell r="X36">
            <v>2.650192273728341</v>
          </cell>
          <cell r="Y36">
            <v>2.4392318622052249</v>
          </cell>
          <cell r="Z36">
            <v>2.2344435939754139</v>
          </cell>
          <cell r="AA36">
            <v>2.0558385941969548</v>
          </cell>
          <cell r="AB36">
            <v>1.8777927001672972</v>
          </cell>
          <cell r="AC36">
            <v>1.70379468709784</v>
          </cell>
          <cell r="AD36">
            <v>1.5258629241801311</v>
          </cell>
          <cell r="AE36">
            <v>1.3485190901441646</v>
          </cell>
          <cell r="AF36">
            <v>1.1755273785036706</v>
          </cell>
          <cell r="AG36">
            <v>1.0031441491558131</v>
          </cell>
          <cell r="AH36">
            <v>0.82544079702520612</v>
          </cell>
          <cell r="AI36">
            <v>0.65786911765169098</v>
          </cell>
          <cell r="AJ36">
            <v>0.48242337191931184</v>
          </cell>
        </row>
        <row r="37">
          <cell r="B37">
            <v>0.51300000000000001</v>
          </cell>
          <cell r="C37">
            <v>0.51300000000000001</v>
          </cell>
          <cell r="D37">
            <v>0.51300000000000001</v>
          </cell>
          <cell r="E37">
            <v>0.51300000000000001</v>
          </cell>
          <cell r="F37">
            <v>0.51300000000000001</v>
          </cell>
          <cell r="G37">
            <v>0.50963823701789335</v>
          </cell>
          <cell r="H37">
            <v>0.50963751967714177</v>
          </cell>
          <cell r="I37">
            <v>0.50963684459970404</v>
          </cell>
          <cell r="J37">
            <v>0.5096362082786382</v>
          </cell>
          <cell r="K37">
            <v>0.50963560758405146</v>
          </cell>
          <cell r="L37">
            <v>0.50963503971374202</v>
          </cell>
          <cell r="M37">
            <v>0.50963450215139594</v>
          </cell>
          <cell r="N37">
            <v>0.50963399263102693</v>
          </cell>
          <cell r="O37">
            <v>0.50963350910659189</v>
          </cell>
          <cell r="P37">
            <v>0.48929443184435711</v>
          </cell>
          <cell r="Q37">
            <v>0.46895541191850332</v>
          </cell>
          <cell r="R37">
            <v>0.44861644529398398</v>
          </cell>
          <cell r="S37">
            <v>0.42827752829342014</v>
          </cell>
          <cell r="T37">
            <v>0.40793865755840003</v>
          </cell>
          <cell r="U37">
            <v>0.38759983001570159</v>
          </cell>
          <cell r="V37">
            <v>0.36726104284771915</v>
          </cell>
          <cell r="W37">
            <v>0.34692229346649617</v>
          </cell>
          <cell r="X37">
            <v>0.32658357949086292</v>
          </cell>
          <cell r="Y37">
            <v>0.30624489872625188</v>
          </cell>
          <cell r="Z37">
            <v>0.28590624914683527</v>
          </cell>
          <cell r="AA37">
            <v>0.26556762887967489</v>
          </cell>
          <cell r="AB37">
            <v>0.24522903619062844</v>
          </cell>
          <cell r="AC37">
            <v>0.2248904694717867</v>
          </cell>
          <cell r="AD37">
            <v>0.20455192723025203</v>
          </cell>
          <cell r="AE37">
            <v>0.18421340807809394</v>
          </cell>
          <cell r="AF37">
            <v>0.16387491072334023</v>
          </cell>
          <cell r="AG37">
            <v>0.14353643396188037</v>
          </cell>
          <cell r="AH37">
            <v>0.12319797667017719</v>
          </cell>
          <cell r="AI37">
            <v>0.10285953779869089</v>
          </cell>
          <cell r="AJ37">
            <v>8.2521116365939493E-2</v>
          </cell>
        </row>
        <row r="38">
          <cell r="B38">
            <v>4.3692982456140346E-2</v>
          </cell>
          <cell r="C38">
            <v>4.3692982456140346E-2</v>
          </cell>
          <cell r="D38">
            <v>4.3692982456140346E-2</v>
          </cell>
          <cell r="E38">
            <v>4.3692982456140346E-2</v>
          </cell>
          <cell r="F38">
            <v>4.3692982456140346E-2</v>
          </cell>
          <cell r="G38">
            <v>4.3692982456140346E-2</v>
          </cell>
          <cell r="H38">
            <v>4.3692982456140346E-2</v>
          </cell>
          <cell r="I38">
            <v>4.3692982456140346E-2</v>
          </cell>
          <cell r="J38">
            <v>4.3692982456140346E-2</v>
          </cell>
          <cell r="K38">
            <v>4.315789473684211E-2</v>
          </cell>
          <cell r="L38">
            <v>4.315789473684211E-2</v>
          </cell>
          <cell r="M38">
            <v>4.315789473684211E-2</v>
          </cell>
          <cell r="N38">
            <v>4.315789473684211E-2</v>
          </cell>
          <cell r="O38">
            <v>4.315789473684211E-2</v>
          </cell>
          <cell r="P38">
            <v>4.315789473684211E-2</v>
          </cell>
          <cell r="Q38">
            <v>4.315789473684211E-2</v>
          </cell>
          <cell r="R38">
            <v>4.315789473684211E-2</v>
          </cell>
          <cell r="S38">
            <v>4.315789473684211E-2</v>
          </cell>
          <cell r="T38">
            <v>4.315789473684211E-2</v>
          </cell>
          <cell r="U38">
            <v>4.315789473684211E-2</v>
          </cell>
          <cell r="V38">
            <v>4.315789473684211E-2</v>
          </cell>
          <cell r="W38">
            <v>4.315789473684211E-2</v>
          </cell>
          <cell r="X38">
            <v>4.315789473684211E-2</v>
          </cell>
          <cell r="Y38">
            <v>4.315789473684211E-2</v>
          </cell>
          <cell r="Z38">
            <v>4.315789473684211E-2</v>
          </cell>
          <cell r="AA38">
            <v>4.315789473684211E-2</v>
          </cell>
          <cell r="AB38">
            <v>4.315789473684211E-2</v>
          </cell>
          <cell r="AC38">
            <v>4.315789473684211E-2</v>
          </cell>
          <cell r="AD38">
            <v>4.315789473684211E-2</v>
          </cell>
          <cell r="AE38">
            <v>4.315789473684211E-2</v>
          </cell>
          <cell r="AF38">
            <v>4.3157894736842103E-2</v>
          </cell>
          <cell r="AG38">
            <v>4.315789473684211E-2</v>
          </cell>
          <cell r="AH38">
            <v>4.315789473684211E-2</v>
          </cell>
          <cell r="AI38">
            <v>4.315789473684211E-2</v>
          </cell>
          <cell r="AJ38">
            <v>4.315789473684211E-2</v>
          </cell>
        </row>
        <row r="40">
          <cell r="B40">
            <v>0.623</v>
          </cell>
          <cell r="C40">
            <v>0.623</v>
          </cell>
          <cell r="D40">
            <v>0.623</v>
          </cell>
          <cell r="E40">
            <v>0.623</v>
          </cell>
          <cell r="F40">
            <v>0.623</v>
          </cell>
          <cell r="G40">
            <v>0.623</v>
          </cell>
          <cell r="H40">
            <v>0.623</v>
          </cell>
          <cell r="I40">
            <v>0.623</v>
          </cell>
          <cell r="J40">
            <v>0.623</v>
          </cell>
          <cell r="K40">
            <v>0.6227272727272728</v>
          </cell>
          <cell r="L40">
            <v>0.57671675816058798</v>
          </cell>
          <cell r="M40">
            <v>0.53069990945284773</v>
          </cell>
          <cell r="N40">
            <v>0.48468939488616314</v>
          </cell>
          <cell r="O40">
            <v>0.43867254617842272</v>
          </cell>
          <cell r="P40">
            <v>0.39266203161173824</v>
          </cell>
          <cell r="Q40">
            <v>0.3626578914932021</v>
          </cell>
          <cell r="R40">
            <v>0.33264741723361024</v>
          </cell>
          <cell r="S40">
            <v>0.30264327711507416</v>
          </cell>
          <cell r="T40">
            <v>0.27263913699653275</v>
          </cell>
          <cell r="U40">
            <v>0.24262866273694078</v>
          </cell>
          <cell r="V40">
            <v>0.22873857746450271</v>
          </cell>
          <cell r="W40">
            <v>0.21484849219206473</v>
          </cell>
          <cell r="X40">
            <v>0.20095840691962669</v>
          </cell>
          <cell r="Y40">
            <v>0.18706832164718865</v>
          </cell>
          <cell r="Z40">
            <v>0.1731782363747506</v>
          </cell>
          <cell r="AA40">
            <v>0.15928815110231259</v>
          </cell>
          <cell r="AB40">
            <v>0.14539806582987458</v>
          </cell>
          <cell r="AC40">
            <v>0.13150798055743654</v>
          </cell>
          <cell r="AD40">
            <v>0.11761789528499848</v>
          </cell>
          <cell r="AE40">
            <v>0.10372781001256046</v>
          </cell>
          <cell r="AF40">
            <v>8.9837724740122429E-2</v>
          </cell>
          <cell r="AG40">
            <v>7.5947639467684402E-2</v>
          </cell>
          <cell r="AH40">
            <v>6.2057554195246362E-2</v>
          </cell>
          <cell r="AI40">
            <v>4.8167468922808335E-2</v>
          </cell>
          <cell r="AJ40">
            <v>3.1257799895493328E-2</v>
          </cell>
        </row>
        <row r="41">
          <cell r="B41">
            <v>6.8167106507991834E-2</v>
          </cell>
          <cell r="C41">
            <v>6.8167106507991834E-2</v>
          </cell>
          <cell r="D41">
            <v>6.8167106507991834E-2</v>
          </cell>
          <cell r="E41">
            <v>6.8167106507991834E-2</v>
          </cell>
          <cell r="F41">
            <v>6.8167106507991834E-2</v>
          </cell>
          <cell r="G41">
            <v>6.8167106507991834E-2</v>
          </cell>
          <cell r="H41">
            <v>6.8167106507991834E-2</v>
          </cell>
          <cell r="I41">
            <v>6.8167106507991834E-2</v>
          </cell>
          <cell r="J41">
            <v>6.8167106507991834E-2</v>
          </cell>
          <cell r="K41">
            <v>6.8167106507991834E-2</v>
          </cell>
          <cell r="L41">
            <v>5.9151525758369315E-2</v>
          </cell>
          <cell r="M41">
            <v>5.0134167138356424E-2</v>
          </cell>
          <cell r="N41">
            <v>4.1118586388733898E-2</v>
          </cell>
          <cell r="O41">
            <v>3.2101227768721E-2</v>
          </cell>
          <cell r="P41">
            <v>2.3085647019098481E-2</v>
          </cell>
          <cell r="Q41">
            <v>1.856274474596898E-2</v>
          </cell>
          <cell r="R41">
            <v>1.4038064602449104E-2</v>
          </cell>
          <cell r="S41">
            <v>9.5151623293196069E-3</v>
          </cell>
          <cell r="T41">
            <v>4.9922600561901056E-3</v>
          </cell>
          <cell r="U41">
            <v>4.6757991267022724E-4</v>
          </cell>
          <cell r="V41">
            <v>4.6757991267022724E-4</v>
          </cell>
          <cell r="W41">
            <v>4.6757991267022724E-4</v>
          </cell>
          <cell r="X41">
            <v>4.6757991267022724E-4</v>
          </cell>
          <cell r="Y41">
            <v>4.6757991267022724E-4</v>
          </cell>
          <cell r="Z41">
            <v>4.6757991267022724E-4</v>
          </cell>
          <cell r="AA41">
            <v>4.6757991267022724E-4</v>
          </cell>
          <cell r="AB41">
            <v>4.6757991267022724E-4</v>
          </cell>
          <cell r="AC41">
            <v>4.6757991267022724E-4</v>
          </cell>
          <cell r="AD41">
            <v>4.6757991267022724E-4</v>
          </cell>
          <cell r="AE41">
            <v>4.6757991267022724E-4</v>
          </cell>
          <cell r="AF41">
            <v>4.6757991267022724E-4</v>
          </cell>
          <cell r="AG41">
            <v>4.6757991267022724E-4</v>
          </cell>
          <cell r="AH41">
            <v>4.6757991267022724E-4</v>
          </cell>
          <cell r="AI41">
            <v>4.6757991267022724E-4</v>
          </cell>
          <cell r="AJ41">
            <v>4.6757991267022724E-4</v>
          </cell>
        </row>
        <row r="42">
          <cell r="B42">
            <v>0.251</v>
          </cell>
          <cell r="C42">
            <v>0.251</v>
          </cell>
          <cell r="D42">
            <v>0.251</v>
          </cell>
          <cell r="E42">
            <v>0.251</v>
          </cell>
          <cell r="F42">
            <v>0.251</v>
          </cell>
          <cell r="G42">
            <v>0.251</v>
          </cell>
          <cell r="H42">
            <v>0.251</v>
          </cell>
          <cell r="I42">
            <v>0.251</v>
          </cell>
          <cell r="J42">
            <v>0.251</v>
          </cell>
          <cell r="K42">
            <v>0.25125628140703515</v>
          </cell>
          <cell r="L42">
            <v>0.22812391896750725</v>
          </cell>
          <cell r="M42">
            <v>0.20498775577050149</v>
          </cell>
          <cell r="N42">
            <v>0.18185539333097353</v>
          </cell>
          <cell r="O42">
            <v>0.15871923013396771</v>
          </cell>
          <cell r="P42">
            <v>0.13558686769443976</v>
          </cell>
          <cell r="Q42">
            <v>0.12205901940146224</v>
          </cell>
          <cell r="R42">
            <v>0.10852737035100683</v>
          </cell>
          <cell r="S42">
            <v>9.4999522058029306E-2</v>
          </cell>
          <cell r="T42">
            <v>8.1471673765050226E-2</v>
          </cell>
          <cell r="U42">
            <v>6.7940024714594843E-2</v>
          </cell>
          <cell r="V42">
            <v>6.4081303445291296E-2</v>
          </cell>
          <cell r="W42">
            <v>6.0222582175987756E-2</v>
          </cell>
          <cell r="X42">
            <v>5.6363860906684216E-2</v>
          </cell>
          <cell r="Y42">
            <v>5.2505139637380668E-2</v>
          </cell>
          <cell r="Z42">
            <v>4.8646418368077128E-2</v>
          </cell>
          <cell r="AA42">
            <v>4.4787697098773588E-2</v>
          </cell>
          <cell r="AB42">
            <v>4.0928975829470041E-2</v>
          </cell>
          <cell r="AC42">
            <v>3.70702545601665E-2</v>
          </cell>
          <cell r="AD42">
            <v>3.3211533290862953E-2</v>
          </cell>
          <cell r="AE42">
            <v>2.9352812021559413E-2</v>
          </cell>
          <cell r="AF42">
            <v>2.5494090752255869E-2</v>
          </cell>
          <cell r="AG42">
            <v>2.1635369482952325E-2</v>
          </cell>
          <cell r="AH42">
            <v>1.7776648213648785E-2</v>
          </cell>
          <cell r="AI42">
            <v>1.3917926944345243E-2</v>
          </cell>
          <cell r="AJ42">
            <v>9.2203532251933455E-3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EF results only"/>
      <sheetName val="EF calculation from GREET 2025+"/>
      <sheetName val="EF calculation from GREET"/>
      <sheetName val="Electricity mix AEO2023"/>
      <sheetName val="Electricity mix  AEO2023 LowIRA"/>
      <sheetName val="Electricity mix  AEO2023 highIR"/>
      <sheetName val="Electricity mix  AEO2023 noIRA"/>
      <sheetName val="Renewable AEO2023"/>
      <sheetName val="Renewable AEO2023 (2)"/>
      <sheetName val="Renewable AEO2023 (3)"/>
      <sheetName val="Renewable AEO2023 (4)"/>
    </sheetNames>
    <sheetDataSet>
      <sheetData sheetId="0"/>
      <sheetData sheetId="1">
        <row r="27">
          <cell r="B27">
            <v>300</v>
          </cell>
          <cell r="C27">
            <v>287.23959137288642</v>
          </cell>
          <cell r="D27">
            <v>274.47918274577279</v>
          </cell>
          <cell r="E27">
            <v>261.71877411865927</v>
          </cell>
          <cell r="F27">
            <v>227.10160415826763</v>
          </cell>
          <cell r="G27">
            <v>192.48443419787608</v>
          </cell>
          <cell r="H27">
            <v>157.86726423748453</v>
          </cell>
          <cell r="I27">
            <v>123.25009427709296</v>
          </cell>
          <cell r="J27">
            <v>88.632924316701406</v>
          </cell>
          <cell r="K27">
            <v>71.265951384764975</v>
          </cell>
          <cell r="L27">
            <v>53.898978452828551</v>
          </cell>
          <cell r="M27">
            <v>36.532005520892135</v>
          </cell>
          <cell r="N27">
            <v>19.165032588955711</v>
          </cell>
          <cell r="O27">
            <v>1.7980596570193008</v>
          </cell>
          <cell r="P27">
            <v>1.7980596570193008</v>
          </cell>
          <cell r="Q27">
            <v>1.7980596570193008</v>
          </cell>
          <cell r="R27">
            <v>1.7980596570193008</v>
          </cell>
          <cell r="S27">
            <v>1.7980596570193008</v>
          </cell>
          <cell r="T27">
            <v>1.7980596570193008</v>
          </cell>
          <cell r="U27">
            <v>1.7980596570193008</v>
          </cell>
          <cell r="V27">
            <v>1.7980596570193008</v>
          </cell>
          <cell r="W27">
            <v>1.7980596570193008</v>
          </cell>
          <cell r="X27">
            <v>1.7980596570193008</v>
          </cell>
          <cell r="Y27">
            <v>1.7980596570193008</v>
          </cell>
          <cell r="Z27">
            <v>1.7980596570193008</v>
          </cell>
          <cell r="AA27">
            <v>1.7980596570193008</v>
          </cell>
          <cell r="AB27">
            <v>1.7980596570193008</v>
          </cell>
          <cell r="AC27">
            <v>1.7980596570193008</v>
          </cell>
          <cell r="AD27">
            <v>1.7980596570193008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issa Tsai" id="{8B145A8E-0CA1-0841-A7CE-CF6633BBECE2}" userId="S::at1107@georgetown.edu::3a0ccb91-cc3d-4d49-8b54-613ca2dfc2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2-03T18:07:59.57" personId="{8B145A8E-0CA1-0841-A7CE-CF6633BBECE2}" id="{43EB7C4C-7727-7A43-A2CA-9BA44045FE25}">
    <text>Emissions factor [kgCO2eq/kt-out]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3251-6335-AE42-9EF6-B4394AFB3012}">
  <dimension ref="A1:AJ15"/>
  <sheetViews>
    <sheetView tabSelected="1" zoomScale="180" workbookViewId="0">
      <selection activeCell="B27" sqref="B27"/>
    </sheetView>
  </sheetViews>
  <sheetFormatPr baseColWidth="10" defaultRowHeight="16" x14ac:dyDescent="0.2"/>
  <cols>
    <col min="1" max="1" width="21" bestFit="1" customWidth="1"/>
    <col min="2" max="2" width="29.83203125" bestFit="1" customWidth="1"/>
  </cols>
  <sheetData>
    <row r="1" spans="1:36" x14ac:dyDescent="0.2">
      <c r="A1" t="s">
        <v>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1</v>
      </c>
      <c r="B2" cm="1">
        <f t="array" ref="B2:AJ2">[1]Decarb_trajectories!$B$36:$AJ$36 * 1000000</f>
        <v>8510000</v>
      </c>
      <c r="C2">
        <v>8422316.5786215812</v>
      </c>
      <c r="D2">
        <v>8334633.1572431624</v>
      </c>
      <c r="E2">
        <v>8246949.7358647445</v>
      </c>
      <c r="F2">
        <v>8159266.3144863257</v>
      </c>
      <c r="G2">
        <v>8071582.8931079106</v>
      </c>
      <c r="H2">
        <v>8071582.8931079106</v>
      </c>
      <c r="I2">
        <v>7943678.0149699384</v>
      </c>
      <c r="J2">
        <v>7816241.7926251832</v>
      </c>
      <c r="K2">
        <v>7666722.4910792848</v>
      </c>
      <c r="L2">
        <v>7176541.4620552706</v>
      </c>
      <c r="M2">
        <v>6656683.8355852133</v>
      </c>
      <c r="N2">
        <v>6109878.9844058594</v>
      </c>
      <c r="O2">
        <v>5548264.4119582623</v>
      </c>
      <c r="P2">
        <v>4863223.6706315419</v>
      </c>
      <c r="Q2">
        <v>4165805.4006140572</v>
      </c>
      <c r="R2">
        <v>3947997.1684858063</v>
      </c>
      <c r="S2">
        <v>3732250.7686642762</v>
      </c>
      <c r="T2">
        <v>3513421.4150450602</v>
      </c>
      <c r="U2">
        <v>3284684.9935417124</v>
      </c>
      <c r="V2">
        <v>3075619.6898610205</v>
      </c>
      <c r="W2">
        <v>2863937.4820915777</v>
      </c>
      <c r="X2">
        <v>2650192.2737283409</v>
      </c>
      <c r="Y2">
        <v>2439231.862205225</v>
      </c>
      <c r="Z2">
        <v>2234443.5939754141</v>
      </c>
      <c r="AA2">
        <v>2055838.5941969547</v>
      </c>
      <c r="AB2">
        <v>1877792.7001672972</v>
      </c>
      <c r="AC2">
        <v>1703794.68709784</v>
      </c>
      <c r="AD2">
        <v>1525862.9241801312</v>
      </c>
      <c r="AE2">
        <v>1348519.0901441646</v>
      </c>
      <c r="AF2">
        <v>1175527.3785036707</v>
      </c>
      <c r="AG2">
        <v>1003144.149155813</v>
      </c>
      <c r="AH2">
        <v>825440.79702520615</v>
      </c>
      <c r="AI2">
        <v>657869.11765169096</v>
      </c>
      <c r="AJ2">
        <v>482423.37191931182</v>
      </c>
    </row>
    <row r="3" spans="1:36" x14ac:dyDescent="0.2">
      <c r="A3" t="s">
        <v>2</v>
      </c>
      <c r="B3" cm="1">
        <f t="array" ref="B3:AJ3">[1]Decarb_trajectories!$B$36:$AJ$36 * 1000000</f>
        <v>8510000</v>
      </c>
      <c r="C3">
        <v>8422316.5786215812</v>
      </c>
      <c r="D3">
        <v>8334633.1572431624</v>
      </c>
      <c r="E3">
        <v>8246949.7358647445</v>
      </c>
      <c r="F3">
        <v>8159266.3144863257</v>
      </c>
      <c r="G3">
        <v>8071582.8931079106</v>
      </c>
      <c r="H3">
        <v>8071582.8931079106</v>
      </c>
      <c r="I3">
        <v>7943678.0149699384</v>
      </c>
      <c r="J3">
        <v>7816241.7926251832</v>
      </c>
      <c r="K3">
        <v>7666722.4910792848</v>
      </c>
      <c r="L3">
        <v>7176541.4620552706</v>
      </c>
      <c r="M3">
        <v>6656683.8355852133</v>
      </c>
      <c r="N3">
        <v>6109878.9844058594</v>
      </c>
      <c r="O3">
        <v>5548264.4119582623</v>
      </c>
      <c r="P3">
        <v>4863223.6706315419</v>
      </c>
      <c r="Q3">
        <v>4165805.4006140572</v>
      </c>
      <c r="R3">
        <v>3947997.1684858063</v>
      </c>
      <c r="S3">
        <v>3732250.7686642762</v>
      </c>
      <c r="T3">
        <v>3513421.4150450602</v>
      </c>
      <c r="U3">
        <v>3284684.9935417124</v>
      </c>
      <c r="V3">
        <v>3075619.6898610205</v>
      </c>
      <c r="W3">
        <v>2863937.4820915777</v>
      </c>
      <c r="X3">
        <v>2650192.2737283409</v>
      </c>
      <c r="Y3">
        <v>2439231.862205225</v>
      </c>
      <c r="Z3">
        <v>2234443.5939754141</v>
      </c>
      <c r="AA3">
        <v>2055838.5941969547</v>
      </c>
      <c r="AB3">
        <v>1877792.7001672972</v>
      </c>
      <c r="AC3">
        <v>1703794.68709784</v>
      </c>
      <c r="AD3">
        <v>1525862.9241801312</v>
      </c>
      <c r="AE3">
        <v>1348519.0901441646</v>
      </c>
      <c r="AF3">
        <v>1175527.3785036707</v>
      </c>
      <c r="AG3">
        <v>1003144.149155813</v>
      </c>
      <c r="AH3">
        <v>825440.79702520615</v>
      </c>
      <c r="AI3">
        <v>657869.11765169096</v>
      </c>
      <c r="AJ3">
        <v>482423.37191931182</v>
      </c>
    </row>
    <row r="4" spans="1:36" x14ac:dyDescent="0.2">
      <c r="A4" t="s">
        <v>3</v>
      </c>
      <c r="B4" cm="1">
        <f t="array" ref="B4:AJ4">[1]Decarb_trajectories!$B$36:$AJ$36 * 1000000</f>
        <v>8510000</v>
      </c>
      <c r="C4">
        <v>8422316.5786215812</v>
      </c>
      <c r="D4">
        <v>8334633.1572431624</v>
      </c>
      <c r="E4">
        <v>8246949.7358647445</v>
      </c>
      <c r="F4">
        <v>8159266.3144863257</v>
      </c>
      <c r="G4">
        <v>8071582.8931079106</v>
      </c>
      <c r="H4">
        <v>8071582.8931079106</v>
      </c>
      <c r="I4">
        <v>7943678.0149699384</v>
      </c>
      <c r="J4">
        <v>7816241.7926251832</v>
      </c>
      <c r="K4">
        <v>7666722.4910792848</v>
      </c>
      <c r="L4">
        <v>7176541.4620552706</v>
      </c>
      <c r="M4">
        <v>6656683.8355852133</v>
      </c>
      <c r="N4">
        <v>6109878.9844058594</v>
      </c>
      <c r="O4">
        <v>5548264.4119582623</v>
      </c>
      <c r="P4">
        <v>4863223.6706315419</v>
      </c>
      <c r="Q4">
        <v>4165805.4006140572</v>
      </c>
      <c r="R4">
        <v>3947997.1684858063</v>
      </c>
      <c r="S4">
        <v>3732250.7686642762</v>
      </c>
      <c r="T4">
        <v>3513421.4150450602</v>
      </c>
      <c r="U4">
        <v>3284684.9935417124</v>
      </c>
      <c r="V4">
        <v>3075619.6898610205</v>
      </c>
      <c r="W4">
        <v>2863937.4820915777</v>
      </c>
      <c r="X4">
        <v>2650192.2737283409</v>
      </c>
      <c r="Y4">
        <v>2439231.862205225</v>
      </c>
      <c r="Z4">
        <v>2234443.5939754141</v>
      </c>
      <c r="AA4">
        <v>2055838.5941969547</v>
      </c>
      <c r="AB4">
        <v>1877792.7001672972</v>
      </c>
      <c r="AC4">
        <v>1703794.68709784</v>
      </c>
      <c r="AD4">
        <v>1525862.9241801312</v>
      </c>
      <c r="AE4">
        <v>1348519.0901441646</v>
      </c>
      <c r="AF4">
        <v>1175527.3785036707</v>
      </c>
      <c r="AG4">
        <v>1003144.149155813</v>
      </c>
      <c r="AH4">
        <v>825440.79702520615</v>
      </c>
      <c r="AI4">
        <v>657869.11765169096</v>
      </c>
      <c r="AJ4">
        <v>482423.37191931182</v>
      </c>
    </row>
    <row r="5" spans="1:36" x14ac:dyDescent="0.2">
      <c r="A5" t="s">
        <v>4</v>
      </c>
      <c r="B5" cm="1">
        <f t="array" ref="B5:AJ5">[1]Decarb_trajectories!$B$36:$AJ$36 * 1000000</f>
        <v>8510000</v>
      </c>
      <c r="C5">
        <v>8422316.5786215812</v>
      </c>
      <c r="D5">
        <v>8334633.1572431624</v>
      </c>
      <c r="E5">
        <v>8246949.7358647445</v>
      </c>
      <c r="F5">
        <v>8159266.3144863257</v>
      </c>
      <c r="G5">
        <v>8071582.8931079106</v>
      </c>
      <c r="H5">
        <v>8071582.8931079106</v>
      </c>
      <c r="I5">
        <v>7943678.0149699384</v>
      </c>
      <c r="J5">
        <v>7816241.7926251832</v>
      </c>
      <c r="K5">
        <v>7666722.4910792848</v>
      </c>
      <c r="L5">
        <v>7176541.4620552706</v>
      </c>
      <c r="M5">
        <v>6656683.8355852133</v>
      </c>
      <c r="N5">
        <v>6109878.9844058594</v>
      </c>
      <c r="O5">
        <v>5548264.4119582623</v>
      </c>
      <c r="P5">
        <v>4863223.6706315419</v>
      </c>
      <c r="Q5">
        <v>4165805.4006140572</v>
      </c>
      <c r="R5">
        <v>3947997.1684858063</v>
      </c>
      <c r="S5">
        <v>3732250.7686642762</v>
      </c>
      <c r="T5">
        <v>3513421.4150450602</v>
      </c>
      <c r="U5">
        <v>3284684.9935417124</v>
      </c>
      <c r="V5">
        <v>3075619.6898610205</v>
      </c>
      <c r="W5">
        <v>2863937.4820915777</v>
      </c>
      <c r="X5">
        <v>2650192.2737283409</v>
      </c>
      <c r="Y5">
        <v>2439231.862205225</v>
      </c>
      <c r="Z5">
        <v>2234443.5939754141</v>
      </c>
      <c r="AA5">
        <v>2055838.5941969547</v>
      </c>
      <c r="AB5">
        <v>1877792.7001672972</v>
      </c>
      <c r="AC5">
        <v>1703794.68709784</v>
      </c>
      <c r="AD5">
        <v>1525862.9241801312</v>
      </c>
      <c r="AE5">
        <v>1348519.0901441646</v>
      </c>
      <c r="AF5">
        <v>1175527.3785036707</v>
      </c>
      <c r="AG5">
        <v>1003144.149155813</v>
      </c>
      <c r="AH5">
        <v>825440.79702520615</v>
      </c>
      <c r="AI5">
        <v>657869.11765169096</v>
      </c>
      <c r="AJ5">
        <v>482423.37191931182</v>
      </c>
    </row>
    <row r="6" spans="1:36" x14ac:dyDescent="0.2">
      <c r="A6" t="s">
        <v>5</v>
      </c>
      <c r="B6" cm="1">
        <f t="array" ref="B6:AJ6">[1]Decarb_trajectories!$B$36:$AJ$36 * 1000000</f>
        <v>8510000</v>
      </c>
      <c r="C6">
        <v>8422316.5786215812</v>
      </c>
      <c r="D6">
        <v>8334633.1572431624</v>
      </c>
      <c r="E6">
        <v>8246949.7358647445</v>
      </c>
      <c r="F6">
        <v>8159266.3144863257</v>
      </c>
      <c r="G6">
        <v>8071582.8931079106</v>
      </c>
      <c r="H6">
        <v>8071582.8931079106</v>
      </c>
      <c r="I6">
        <v>7943678.0149699384</v>
      </c>
      <c r="J6">
        <v>7816241.7926251832</v>
      </c>
      <c r="K6">
        <v>7666722.4910792848</v>
      </c>
      <c r="L6">
        <v>7176541.4620552706</v>
      </c>
      <c r="M6">
        <v>6656683.8355852133</v>
      </c>
      <c r="N6">
        <v>6109878.9844058594</v>
      </c>
      <c r="O6">
        <v>5548264.4119582623</v>
      </c>
      <c r="P6">
        <v>4863223.6706315419</v>
      </c>
      <c r="Q6">
        <v>4165805.4006140572</v>
      </c>
      <c r="R6">
        <v>3947997.1684858063</v>
      </c>
      <c r="S6">
        <v>3732250.7686642762</v>
      </c>
      <c r="T6">
        <v>3513421.4150450602</v>
      </c>
      <c r="U6">
        <v>3284684.9935417124</v>
      </c>
      <c r="V6">
        <v>3075619.6898610205</v>
      </c>
      <c r="W6">
        <v>2863937.4820915777</v>
      </c>
      <c r="X6">
        <v>2650192.2737283409</v>
      </c>
      <c r="Y6">
        <v>2439231.862205225</v>
      </c>
      <c r="Z6">
        <v>2234443.5939754141</v>
      </c>
      <c r="AA6">
        <v>2055838.5941969547</v>
      </c>
      <c r="AB6">
        <v>1877792.7001672972</v>
      </c>
      <c r="AC6">
        <v>1703794.68709784</v>
      </c>
      <c r="AD6">
        <v>1525862.9241801312</v>
      </c>
      <c r="AE6">
        <v>1348519.0901441646</v>
      </c>
      <c r="AF6">
        <v>1175527.3785036707</v>
      </c>
      <c r="AG6">
        <v>1003144.149155813</v>
      </c>
      <c r="AH6">
        <v>825440.79702520615</v>
      </c>
      <c r="AI6">
        <v>657869.11765169096</v>
      </c>
      <c r="AJ6">
        <v>482423.37191931182</v>
      </c>
    </row>
    <row r="7" spans="1:36" x14ac:dyDescent="0.2">
      <c r="A7" t="s">
        <v>6</v>
      </c>
      <c r="B7" cm="1">
        <f t="array" ref="B7:AJ7">[1]Decarb_trajectories!$B$36:$AJ$36 * 1000000</f>
        <v>8510000</v>
      </c>
      <c r="C7">
        <v>8422316.5786215812</v>
      </c>
      <c r="D7">
        <v>8334633.1572431624</v>
      </c>
      <c r="E7">
        <v>8246949.7358647445</v>
      </c>
      <c r="F7">
        <v>8159266.3144863257</v>
      </c>
      <c r="G7">
        <v>8071582.8931079106</v>
      </c>
      <c r="H7">
        <v>8071582.8931079106</v>
      </c>
      <c r="I7">
        <v>7943678.0149699384</v>
      </c>
      <c r="J7">
        <v>7816241.7926251832</v>
      </c>
      <c r="K7">
        <v>7666722.4910792848</v>
      </c>
      <c r="L7">
        <v>7176541.4620552706</v>
      </c>
      <c r="M7">
        <v>6656683.8355852133</v>
      </c>
      <c r="N7">
        <v>6109878.9844058594</v>
      </c>
      <c r="O7">
        <v>5548264.4119582623</v>
      </c>
      <c r="P7">
        <v>4863223.6706315419</v>
      </c>
      <c r="Q7">
        <v>4165805.4006140572</v>
      </c>
      <c r="R7">
        <v>3947997.1684858063</v>
      </c>
      <c r="S7">
        <v>3732250.7686642762</v>
      </c>
      <c r="T7">
        <v>3513421.4150450602</v>
      </c>
      <c r="U7">
        <v>3284684.9935417124</v>
      </c>
      <c r="V7">
        <v>3075619.6898610205</v>
      </c>
      <c r="W7">
        <v>2863937.4820915777</v>
      </c>
      <c r="X7">
        <v>2650192.2737283409</v>
      </c>
      <c r="Y7">
        <v>2439231.862205225</v>
      </c>
      <c r="Z7">
        <v>2234443.5939754141</v>
      </c>
      <c r="AA7">
        <v>2055838.5941969547</v>
      </c>
      <c r="AB7">
        <v>1877792.7001672972</v>
      </c>
      <c r="AC7">
        <v>1703794.68709784</v>
      </c>
      <c r="AD7">
        <v>1525862.9241801312</v>
      </c>
      <c r="AE7">
        <v>1348519.0901441646</v>
      </c>
      <c r="AF7">
        <v>1175527.3785036707</v>
      </c>
      <c r="AG7">
        <v>1003144.149155813</v>
      </c>
      <c r="AH7">
        <v>825440.79702520615</v>
      </c>
      <c r="AI7">
        <v>657869.11765169096</v>
      </c>
      <c r="AJ7">
        <v>482423.37191931182</v>
      </c>
    </row>
    <row r="8" spans="1:36" x14ac:dyDescent="0.2">
      <c r="A8" t="s">
        <v>7</v>
      </c>
      <c r="B8" cm="1">
        <f t="array" ref="B8:AJ8">[1]Decarb_trajectories!$B$36:$AJ$36 * 1000000</f>
        <v>8510000</v>
      </c>
      <c r="C8">
        <v>8422316.5786215812</v>
      </c>
      <c r="D8">
        <v>8334633.1572431624</v>
      </c>
      <c r="E8">
        <v>8246949.7358647445</v>
      </c>
      <c r="F8">
        <v>8159266.3144863257</v>
      </c>
      <c r="G8">
        <v>8071582.8931079106</v>
      </c>
      <c r="H8">
        <v>8071582.8931079106</v>
      </c>
      <c r="I8">
        <v>7943678.0149699384</v>
      </c>
      <c r="J8">
        <v>7816241.7926251832</v>
      </c>
      <c r="K8">
        <v>7666722.4910792848</v>
      </c>
      <c r="L8">
        <v>7176541.4620552706</v>
      </c>
      <c r="M8">
        <v>6656683.8355852133</v>
      </c>
      <c r="N8">
        <v>6109878.9844058594</v>
      </c>
      <c r="O8">
        <v>5548264.4119582623</v>
      </c>
      <c r="P8">
        <v>4863223.6706315419</v>
      </c>
      <c r="Q8">
        <v>4165805.4006140572</v>
      </c>
      <c r="R8">
        <v>3947997.1684858063</v>
      </c>
      <c r="S8">
        <v>3732250.7686642762</v>
      </c>
      <c r="T8">
        <v>3513421.4150450602</v>
      </c>
      <c r="U8">
        <v>3284684.9935417124</v>
      </c>
      <c r="V8">
        <v>3075619.6898610205</v>
      </c>
      <c r="W8">
        <v>2863937.4820915777</v>
      </c>
      <c r="X8">
        <v>2650192.2737283409</v>
      </c>
      <c r="Y8">
        <v>2439231.862205225</v>
      </c>
      <c r="Z8">
        <v>2234443.5939754141</v>
      </c>
      <c r="AA8">
        <v>2055838.5941969547</v>
      </c>
      <c r="AB8">
        <v>1877792.7001672972</v>
      </c>
      <c r="AC8">
        <v>1703794.68709784</v>
      </c>
      <c r="AD8">
        <v>1525862.9241801312</v>
      </c>
      <c r="AE8">
        <v>1348519.0901441646</v>
      </c>
      <c r="AF8">
        <v>1175527.3785036707</v>
      </c>
      <c r="AG8">
        <v>1003144.149155813</v>
      </c>
      <c r="AH8">
        <v>825440.79702520615</v>
      </c>
      <c r="AI8">
        <v>657869.11765169096</v>
      </c>
      <c r="AJ8">
        <v>482423.37191931182</v>
      </c>
    </row>
    <row r="9" spans="1:36" x14ac:dyDescent="0.2">
      <c r="A9" t="s">
        <v>8</v>
      </c>
      <c r="B9" cm="1">
        <f t="array" ref="B9:AJ9">[1]Decarb_trajectories!$B$38:$AJ$38 * 1000000</f>
        <v>43692.982456140344</v>
      </c>
      <c r="C9">
        <v>43692.982456140344</v>
      </c>
      <c r="D9">
        <v>43692.982456140344</v>
      </c>
      <c r="E9">
        <v>43692.982456140344</v>
      </c>
      <c r="F9">
        <v>43692.982456140344</v>
      </c>
      <c r="G9">
        <v>43692.982456140344</v>
      </c>
      <c r="H9">
        <v>43692.982456140344</v>
      </c>
      <c r="I9">
        <v>43692.982456140344</v>
      </c>
      <c r="J9">
        <v>43692.982456140344</v>
      </c>
      <c r="K9">
        <v>43157.894736842107</v>
      </c>
      <c r="L9">
        <v>43157.894736842107</v>
      </c>
      <c r="M9">
        <v>43157.894736842107</v>
      </c>
      <c r="N9">
        <v>43157.894736842107</v>
      </c>
      <c r="O9">
        <v>43157.894736842107</v>
      </c>
      <c r="P9">
        <v>43157.894736842107</v>
      </c>
      <c r="Q9">
        <v>43157.894736842107</v>
      </c>
      <c r="R9">
        <v>43157.894736842107</v>
      </c>
      <c r="S9">
        <v>43157.894736842107</v>
      </c>
      <c r="T9">
        <v>43157.894736842107</v>
      </c>
      <c r="U9">
        <v>43157.894736842107</v>
      </c>
      <c r="V9">
        <v>43157.894736842107</v>
      </c>
      <c r="W9">
        <v>43157.894736842107</v>
      </c>
      <c r="X9">
        <v>43157.894736842107</v>
      </c>
      <c r="Y9">
        <v>43157.894736842107</v>
      </c>
      <c r="Z9">
        <v>43157.894736842107</v>
      </c>
      <c r="AA9">
        <v>43157.894736842107</v>
      </c>
      <c r="AB9">
        <v>43157.894736842107</v>
      </c>
      <c r="AC9">
        <v>43157.894736842107</v>
      </c>
      <c r="AD9">
        <v>43157.894736842107</v>
      </c>
      <c r="AE9">
        <v>43157.894736842107</v>
      </c>
      <c r="AF9">
        <v>43157.894736842107</v>
      </c>
      <c r="AG9">
        <v>43157.894736842107</v>
      </c>
      <c r="AH9">
        <v>43157.894736842107</v>
      </c>
      <c r="AI9">
        <v>43157.894736842107</v>
      </c>
      <c r="AJ9">
        <v>43157.894736842107</v>
      </c>
    </row>
    <row r="10" spans="1:36" x14ac:dyDescent="0.2">
      <c r="A10" t="s">
        <v>9</v>
      </c>
      <c r="B10" cm="1">
        <f t="array" ref="B10:AJ10">[1]Decarb_trajectories!$B$37:$AJ$37 * 1000000</f>
        <v>513000</v>
      </c>
      <c r="C10">
        <v>513000</v>
      </c>
      <c r="D10">
        <v>513000</v>
      </c>
      <c r="E10">
        <v>513000</v>
      </c>
      <c r="F10">
        <v>513000</v>
      </c>
      <c r="G10">
        <v>509638.23701789335</v>
      </c>
      <c r="H10">
        <v>509637.5196771418</v>
      </c>
      <c r="I10">
        <v>509636.84459970403</v>
      </c>
      <c r="J10">
        <v>509636.20827863819</v>
      </c>
      <c r="K10">
        <v>509635.60758405144</v>
      </c>
      <c r="L10">
        <v>509635.03971374204</v>
      </c>
      <c r="M10">
        <v>509634.50215139595</v>
      </c>
      <c r="N10">
        <v>509633.99263102695</v>
      </c>
      <c r="O10">
        <v>509633.50910659187</v>
      </c>
      <c r="P10">
        <v>489294.43184435711</v>
      </c>
      <c r="Q10">
        <v>468955.41191850329</v>
      </c>
      <c r="R10">
        <v>448616.44529398397</v>
      </c>
      <c r="S10">
        <v>428277.52829342015</v>
      </c>
      <c r="T10">
        <v>407938.65755840001</v>
      </c>
      <c r="U10">
        <v>387599.83001570159</v>
      </c>
      <c r="V10">
        <v>367261.04284771916</v>
      </c>
      <c r="W10">
        <v>346922.29346649616</v>
      </c>
      <c r="X10">
        <v>326583.5794908629</v>
      </c>
      <c r="Y10">
        <v>306244.89872625191</v>
      </c>
      <c r="Z10">
        <v>285906.2491468353</v>
      </c>
      <c r="AA10">
        <v>265567.62887967488</v>
      </c>
      <c r="AB10">
        <v>245229.03619062845</v>
      </c>
      <c r="AC10">
        <v>224890.4694717867</v>
      </c>
      <c r="AD10">
        <v>204551.92723025204</v>
      </c>
      <c r="AE10">
        <v>184213.40807809395</v>
      </c>
      <c r="AF10">
        <v>163874.91072334023</v>
      </c>
      <c r="AG10">
        <v>143536.43396188036</v>
      </c>
      <c r="AH10">
        <v>123197.97667017719</v>
      </c>
      <c r="AI10">
        <v>102859.53779869089</v>
      </c>
      <c r="AJ10">
        <v>82521.116365939495</v>
      </c>
    </row>
    <row r="11" spans="1:36" x14ac:dyDescent="0.2">
      <c r="A11" t="s">
        <v>10</v>
      </c>
      <c r="B11" cm="1">
        <f t="array" ref="B11:AJ11">_xlfn.ANCHORARRAY(B10)</f>
        <v>513000</v>
      </c>
      <c r="C11">
        <v>513000</v>
      </c>
      <c r="D11">
        <v>513000</v>
      </c>
      <c r="E11">
        <v>513000</v>
      </c>
      <c r="F11">
        <v>513000</v>
      </c>
      <c r="G11">
        <v>509638.23701789335</v>
      </c>
      <c r="H11">
        <v>509637.5196771418</v>
      </c>
      <c r="I11">
        <v>509636.84459970403</v>
      </c>
      <c r="J11">
        <v>509636.20827863819</v>
      </c>
      <c r="K11">
        <v>509635.60758405144</v>
      </c>
      <c r="L11">
        <v>509635.03971374204</v>
      </c>
      <c r="M11">
        <v>509634.50215139595</v>
      </c>
      <c r="N11">
        <v>509633.99263102695</v>
      </c>
      <c r="O11">
        <v>509633.50910659187</v>
      </c>
      <c r="P11">
        <v>489294.43184435711</v>
      </c>
      <c r="Q11">
        <v>468955.41191850329</v>
      </c>
      <c r="R11">
        <v>448616.44529398397</v>
      </c>
      <c r="S11">
        <v>428277.52829342015</v>
      </c>
      <c r="T11">
        <v>407938.65755840001</v>
      </c>
      <c r="U11">
        <v>387599.83001570159</v>
      </c>
      <c r="V11">
        <v>367261.04284771916</v>
      </c>
      <c r="W11">
        <v>346922.29346649616</v>
      </c>
      <c r="X11">
        <v>326583.5794908629</v>
      </c>
      <c r="Y11">
        <v>306244.89872625191</v>
      </c>
      <c r="Z11">
        <v>285906.2491468353</v>
      </c>
      <c r="AA11">
        <v>265567.62887967488</v>
      </c>
      <c r="AB11">
        <v>245229.03619062845</v>
      </c>
      <c r="AC11">
        <v>224890.4694717867</v>
      </c>
      <c r="AD11">
        <v>204551.92723025204</v>
      </c>
      <c r="AE11">
        <v>184213.40807809395</v>
      </c>
      <c r="AF11">
        <v>163874.91072334023</v>
      </c>
      <c r="AG11">
        <v>143536.43396188036</v>
      </c>
      <c r="AH11">
        <v>123197.97667017719</v>
      </c>
      <c r="AI11">
        <v>102859.53779869089</v>
      </c>
      <c r="AJ11">
        <v>82521.116365939495</v>
      </c>
    </row>
    <row r="12" spans="1:36" x14ac:dyDescent="0.2">
      <c r="A12" t="s">
        <v>11</v>
      </c>
      <c r="B12">
        <v>300</v>
      </c>
      <c r="C12">
        <v>300</v>
      </c>
      <c r="D12">
        <v>300</v>
      </c>
      <c r="E12">
        <v>300</v>
      </c>
      <c r="F12">
        <v>300</v>
      </c>
      <c r="G12">
        <v>300</v>
      </c>
      <c r="H12" cm="1">
        <f t="array" ref="H12:AJ12">'[2]EF results only'!$B$27:$AD$27</f>
        <v>300</v>
      </c>
      <c r="I12">
        <v>287.23959137288642</v>
      </c>
      <c r="J12">
        <v>274.47918274577279</v>
      </c>
      <c r="K12">
        <v>261.71877411865927</v>
      </c>
      <c r="L12">
        <v>227.10160415826763</v>
      </c>
      <c r="M12">
        <v>192.48443419787608</v>
      </c>
      <c r="N12">
        <v>157.86726423748453</v>
      </c>
      <c r="O12">
        <v>123.25009427709296</v>
      </c>
      <c r="P12">
        <v>88.632924316701406</v>
      </c>
      <c r="Q12">
        <v>71.265951384764975</v>
      </c>
      <c r="R12">
        <v>53.898978452828551</v>
      </c>
      <c r="S12">
        <v>36.532005520892135</v>
      </c>
      <c r="T12">
        <v>19.165032588955711</v>
      </c>
      <c r="U12">
        <v>1.7980596570193008</v>
      </c>
      <c r="V12">
        <v>1.7980596570193008</v>
      </c>
      <c r="W12">
        <v>1.7980596570193008</v>
      </c>
      <c r="X12">
        <v>1.7980596570193008</v>
      </c>
      <c r="Y12">
        <v>1.7980596570193008</v>
      </c>
      <c r="Z12">
        <v>1.7980596570193008</v>
      </c>
      <c r="AA12">
        <v>1.7980596570193008</v>
      </c>
      <c r="AB12">
        <v>1.7980596570193008</v>
      </c>
      <c r="AC12">
        <v>1.7980596570193008</v>
      </c>
      <c r="AD12">
        <v>1.7980596570193008</v>
      </c>
      <c r="AE12">
        <v>1.7980596570193008</v>
      </c>
      <c r="AF12">
        <v>1.7980596570193008</v>
      </c>
      <c r="AG12">
        <v>1.7980596570193008</v>
      </c>
      <c r="AH12">
        <v>1.7980596570193008</v>
      </c>
      <c r="AI12">
        <v>1.7980596570193008</v>
      </c>
      <c r="AJ12">
        <v>1.7980596570193008</v>
      </c>
    </row>
    <row r="13" spans="1:36" x14ac:dyDescent="0.2">
      <c r="A13" t="s">
        <v>12</v>
      </c>
      <c r="B13" cm="1">
        <f t="array" ref="B13:AJ13">[1]Decarb_trajectories!$B40:$AJ40 * 1000000</f>
        <v>623000</v>
      </c>
      <c r="C13">
        <v>623000</v>
      </c>
      <c r="D13">
        <v>623000</v>
      </c>
      <c r="E13">
        <v>623000</v>
      </c>
      <c r="F13">
        <v>623000</v>
      </c>
      <c r="G13">
        <v>623000</v>
      </c>
      <c r="H13">
        <v>623000</v>
      </c>
      <c r="I13">
        <v>623000</v>
      </c>
      <c r="J13">
        <v>623000</v>
      </c>
      <c r="K13">
        <v>622727.27272727282</v>
      </c>
      <c r="L13">
        <v>576716.75816058798</v>
      </c>
      <c r="M13">
        <v>530699.90945284779</v>
      </c>
      <c r="N13">
        <v>484689.39488616312</v>
      </c>
      <c r="O13">
        <v>438672.54617842269</v>
      </c>
      <c r="P13">
        <v>392662.03161173826</v>
      </c>
      <c r="Q13">
        <v>362657.89149320213</v>
      </c>
      <c r="R13">
        <v>332647.41723361023</v>
      </c>
      <c r="S13">
        <v>302643.27711507416</v>
      </c>
      <c r="T13">
        <v>272639.13699653273</v>
      </c>
      <c r="U13">
        <v>242628.66273694078</v>
      </c>
      <c r="V13">
        <v>228738.57746450271</v>
      </c>
      <c r="W13">
        <v>214848.49219206473</v>
      </c>
      <c r="X13">
        <v>200958.40691962669</v>
      </c>
      <c r="Y13">
        <v>187068.32164718866</v>
      </c>
      <c r="Z13">
        <v>173178.23637475062</v>
      </c>
      <c r="AA13">
        <v>159288.15110231258</v>
      </c>
      <c r="AB13">
        <v>145398.06582987457</v>
      </c>
      <c r="AC13">
        <v>131507.98055743653</v>
      </c>
      <c r="AD13">
        <v>117617.89528499848</v>
      </c>
      <c r="AE13">
        <v>103727.81001256045</v>
      </c>
      <c r="AF13">
        <v>89837.72474012243</v>
      </c>
      <c r="AG13">
        <v>75947.639467684407</v>
      </c>
      <c r="AH13">
        <v>62057.554195246361</v>
      </c>
      <c r="AI13">
        <v>48167.468922808337</v>
      </c>
      <c r="AJ13">
        <v>31257.799895493328</v>
      </c>
    </row>
    <row r="14" spans="1:36" x14ac:dyDescent="0.2">
      <c r="A14" t="s">
        <v>13</v>
      </c>
      <c r="B14" cm="1">
        <f t="array" ref="B14:AJ14">[1]Decarb_trajectories!$B41:$AJ41 * 1000000</f>
        <v>68167.106507991833</v>
      </c>
      <c r="C14">
        <v>68167.106507991833</v>
      </c>
      <c r="D14">
        <v>68167.106507991833</v>
      </c>
      <c r="E14">
        <v>68167.106507991833</v>
      </c>
      <c r="F14">
        <v>68167.106507991833</v>
      </c>
      <c r="G14">
        <v>68167.106507991833</v>
      </c>
      <c r="H14">
        <v>68167.106507991833</v>
      </c>
      <c r="I14">
        <v>68167.106507991833</v>
      </c>
      <c r="J14">
        <v>68167.106507991833</v>
      </c>
      <c r="K14">
        <v>68167.106507991833</v>
      </c>
      <c r="L14">
        <v>59151.525758369316</v>
      </c>
      <c r="M14">
        <v>50134.167138356424</v>
      </c>
      <c r="N14">
        <v>41118.5863887339</v>
      </c>
      <c r="O14">
        <v>32101.227768721001</v>
      </c>
      <c r="P14">
        <v>23085.64701909848</v>
      </c>
      <c r="Q14">
        <v>18562.744745968979</v>
      </c>
      <c r="R14">
        <v>14038.064602449103</v>
      </c>
      <c r="S14">
        <v>9515.1623293196062</v>
      </c>
      <c r="T14">
        <v>4992.2600561901054</v>
      </c>
      <c r="U14">
        <v>467.57991267022726</v>
      </c>
      <c r="V14">
        <v>467.57991267022726</v>
      </c>
      <c r="W14">
        <v>467.57991267022726</v>
      </c>
      <c r="X14">
        <v>467.57991267022726</v>
      </c>
      <c r="Y14">
        <v>467.57991267022726</v>
      </c>
      <c r="Z14">
        <v>467.57991267022726</v>
      </c>
      <c r="AA14">
        <v>467.57991267022726</v>
      </c>
      <c r="AB14">
        <v>467.57991267022726</v>
      </c>
      <c r="AC14">
        <v>467.57991267022726</v>
      </c>
      <c r="AD14">
        <v>467.57991267022726</v>
      </c>
      <c r="AE14">
        <v>467.57991267022726</v>
      </c>
      <c r="AF14">
        <v>467.57991267022726</v>
      </c>
      <c r="AG14">
        <v>467.57991267022726</v>
      </c>
      <c r="AH14">
        <v>467.57991267022726</v>
      </c>
      <c r="AI14">
        <v>467.57991267022726</v>
      </c>
      <c r="AJ14">
        <v>467.57991267022726</v>
      </c>
    </row>
    <row r="15" spans="1:36" x14ac:dyDescent="0.2">
      <c r="A15" t="s">
        <v>14</v>
      </c>
      <c r="B15" cm="1">
        <f t="array" ref="B15:AJ15">[1]Decarb_trajectories!$B42:$AJ42 * 1000000</f>
        <v>251000</v>
      </c>
      <c r="C15">
        <v>251000</v>
      </c>
      <c r="D15">
        <v>251000</v>
      </c>
      <c r="E15">
        <v>251000</v>
      </c>
      <c r="F15">
        <v>251000</v>
      </c>
      <c r="G15">
        <v>251000</v>
      </c>
      <c r="H15">
        <v>251000</v>
      </c>
      <c r="I15">
        <v>251000</v>
      </c>
      <c r="J15">
        <v>251000</v>
      </c>
      <c r="K15">
        <v>251256.28140703516</v>
      </c>
      <c r="L15">
        <v>228123.91896750726</v>
      </c>
      <c r="M15">
        <v>204987.75577050148</v>
      </c>
      <c r="N15">
        <v>181855.39333097354</v>
      </c>
      <c r="O15">
        <v>158719.23013396771</v>
      </c>
      <c r="P15">
        <v>135586.86769443974</v>
      </c>
      <c r="Q15">
        <v>122059.01940146224</v>
      </c>
      <c r="R15">
        <v>108527.37035100683</v>
      </c>
      <c r="S15">
        <v>94999.52205802931</v>
      </c>
      <c r="T15">
        <v>81471.673765050233</v>
      </c>
      <c r="U15">
        <v>67940.024714594838</v>
      </c>
      <c r="V15">
        <v>64081.303445291298</v>
      </c>
      <c r="W15">
        <v>60222.582175987758</v>
      </c>
      <c r="X15">
        <v>56363.860906684218</v>
      </c>
      <c r="Y15">
        <v>52505.139637380671</v>
      </c>
      <c r="Z15">
        <v>48646.418368077131</v>
      </c>
      <c r="AA15">
        <v>44787.697098773591</v>
      </c>
      <c r="AB15">
        <v>40928.975829470044</v>
      </c>
      <c r="AC15">
        <v>37070.254560166497</v>
      </c>
      <c r="AD15">
        <v>33211.53329086295</v>
      </c>
      <c r="AE15">
        <v>29352.812021559414</v>
      </c>
      <c r="AF15">
        <v>25494.09075225587</v>
      </c>
      <c r="AG15">
        <v>21635.369482952327</v>
      </c>
      <c r="AH15">
        <v>17776.648213648787</v>
      </c>
      <c r="AI15">
        <v>13917.926944345243</v>
      </c>
      <c r="AJ15">
        <v>9220.3532251933448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2025-02-03T19:27:39Z</dcterms:created>
  <dcterms:modified xsi:type="dcterms:W3CDTF">2025-11-09T20:09:28Z</dcterms:modified>
</cp:coreProperties>
</file>