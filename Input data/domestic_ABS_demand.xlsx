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2A7F33F5-E9E3-D64A-B928-6C99AA1B8DDC}" xr6:coauthVersionLast="47" xr6:coauthVersionMax="47" xr10:uidLastSave="{00000000-0000-0000-0000-000000000000}"/>
  <bookViews>
    <workbookView xWindow="-20" yWindow="600" windowWidth="25620" windowHeight="13220" xr2:uid="{B4AB6CA2-FFF5-464A-BD9C-B8BA25C66C71}"/>
  </bookViews>
  <sheets>
    <sheet name="Sheet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 a="1"/>
  <c r="B8" i="2" s="1"/>
  <c r="B7" i="2" a="1"/>
  <c r="B7" i="2" s="1"/>
  <c r="B4" i="2" a="1"/>
  <c r="B4" i="2" s="1"/>
  <c r="B6" i="2" a="1"/>
  <c r="B6" i="2" s="1"/>
  <c r="B5" i="2" a="1"/>
  <c r="B5" i="2" s="1"/>
  <c r="B3" i="2" a="1"/>
  <c r="B3" i="2" s="1"/>
  <c r="B2" i="2" a="1"/>
  <c r="B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Alissa Tsai</author>
  </authors>
  <commentList>
    <comment ref="A1" authorId="0" shapeId="0" xr:uid="{24AAA3A6-D5DE-4D4F-A27E-7A3844399F02}">
      <text>
        <r>
          <rPr>
            <b/>
            <sz val="10"/>
            <color rgb="FF000000"/>
            <rFont val="Tahoma"/>
            <family val="2"/>
          </rPr>
          <t xml:space="preserve">Alissa Tsai:
</t>
        </r>
        <r>
          <rPr>
            <sz val="10"/>
            <color rgb="FF000000"/>
            <rFont val="Tahoma"/>
            <family val="2"/>
          </rPr>
          <t>Ingot demand: Liao DMFA lifespans &amp; updated (Ducker-derived) GRs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<sst xmlns="http://schemas.openxmlformats.org/spreadsheetml/2006/main" count="8" uniqueCount="8">
  <si>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Alloy</t>
  </si>
  <si>
    <t>Auto Sheet 5xxx</t>
  </si>
  <si>
    <t>Auto Sheet 6xxx 6005C</t>
  </si>
  <si>
    <t>Auto Sheet 6xxx 6016</t>
  </si>
  <si>
    <t>Auto Sheet Ford Low Mg</t>
  </si>
  <si>
    <t>Auto Sheet Ford High Mg</t>
  </si>
  <si>
    <t>Auto Sheet Ford Low Cu</t>
  </si>
  <si>
    <t>Auto Sheet Ford High 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</si>
</sst>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03.26%20Auto%20DMFA.xlsx" TargetMode="External"/><Relationship Id="rId1" Type="http://schemas.openxmlformats.org/officeDocument/2006/relationships/externalLinkPath" Target="03.26%20Auto%20DMF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port. LDVs (Liao)"/>
      <sheetName val="Transport. LDVs (Greene)"/>
    </sheetNames>
    <sheetDataSet>
      <sheetData sheetId="0">
        <row r="354">
          <cell r="AZ354">
            <v>38.791233593740863</v>
          </cell>
          <cell r="BA354">
            <v>56.419505053317344</v>
          </cell>
          <cell r="BB354">
            <v>46.884802655225087</v>
          </cell>
          <cell r="BC354">
            <v>48.511368811112348</v>
          </cell>
          <cell r="BD354">
            <v>59.214510311447505</v>
          </cell>
          <cell r="BE354">
            <v>35.592188759147845</v>
          </cell>
          <cell r="BF354">
            <v>36.490702410536642</v>
          </cell>
          <cell r="BG354">
            <v>37.389027061925447</v>
          </cell>
          <cell r="BH354">
            <v>38.287471813314255</v>
          </cell>
          <cell r="BI354">
            <v>39.185985464703059</v>
          </cell>
          <cell r="BJ354">
            <v>40.08443021609186</v>
          </cell>
          <cell r="BK354">
            <v>40.982823767480653</v>
          </cell>
          <cell r="BL354">
            <v>41.881199618869445</v>
          </cell>
          <cell r="BM354">
            <v>42.779713270258242</v>
          </cell>
          <cell r="BN354">
            <v>43.678158021647036</v>
          </cell>
          <cell r="BO354">
            <v>44.576551573035815</v>
          </cell>
          <cell r="BP354">
            <v>45.475065224424625</v>
          </cell>
          <cell r="BQ354">
            <v>46.373441075813417</v>
          </cell>
          <cell r="BR354">
            <v>47.271885827202212</v>
          </cell>
          <cell r="BS354">
            <v>48.170348278590978</v>
          </cell>
          <cell r="BT354">
            <v>49.068793029979773</v>
          </cell>
          <cell r="BU354">
            <v>49.967168881368565</v>
          </cell>
          <cell r="BV354">
            <v>50.865613632757359</v>
          </cell>
          <cell r="BW354">
            <v>51.76412728414617</v>
          </cell>
          <cell r="BX354">
            <v>52.662520835534949</v>
          </cell>
          <cell r="BY354">
            <v>53.560965586923714</v>
          </cell>
          <cell r="BZ354">
            <v>54.459410338312537</v>
          </cell>
          <cell r="CA354">
            <v>55.357855089701317</v>
          </cell>
          <cell r="CB354">
            <v>56.25624864109011</v>
          </cell>
          <cell r="CC354">
            <v>57.154762292478893</v>
          </cell>
          <cell r="CD354">
            <v>58.053207043867701</v>
          </cell>
          <cell r="CE354">
            <v>58.951582895256479</v>
          </cell>
          <cell r="CF354">
            <v>59.849976446645286</v>
          </cell>
          <cell r="CG354">
            <v>60.748490098034068</v>
          </cell>
          <cell r="CH354">
            <v>61.646934849422877</v>
          </cell>
          <cell r="CI354">
            <v>62.545379600811657</v>
          </cell>
        </row>
        <row r="355">
          <cell r="AZ355">
            <v>16.469365499999999</v>
          </cell>
          <cell r="BA355">
            <v>18.357160499999999</v>
          </cell>
          <cell r="BB355">
            <v>25.4324385</v>
          </cell>
          <cell r="BC355">
            <v>31.674395000000001</v>
          </cell>
          <cell r="BD355">
            <v>32.632829399999999</v>
          </cell>
          <cell r="BE355">
            <v>33.429067100000005</v>
          </cell>
          <cell r="BF355">
            <v>34.225263000000005</v>
          </cell>
          <cell r="BG355">
            <v>35.021574000000001</v>
          </cell>
          <cell r="BH355">
            <v>35.8178117</v>
          </cell>
          <cell r="BI355">
            <v>36.614007600000001</v>
          </cell>
          <cell r="BJ355">
            <v>37.4102453</v>
          </cell>
          <cell r="BK355">
            <v>38.206514500000004</v>
          </cell>
          <cell r="BL355">
            <v>39.002794000000002</v>
          </cell>
          <cell r="BM355">
            <v>39.798989900000002</v>
          </cell>
          <cell r="BN355">
            <v>40.595227599999994</v>
          </cell>
          <cell r="BO355">
            <v>41.391496800000006</v>
          </cell>
          <cell r="BP355">
            <v>42.187692699999999</v>
          </cell>
          <cell r="BQ355">
            <v>42.983972199999997</v>
          </cell>
          <cell r="BR355">
            <v>43.780209899999996</v>
          </cell>
          <cell r="BS355">
            <v>44.576437300000002</v>
          </cell>
          <cell r="BT355">
            <v>45.372675000000001</v>
          </cell>
          <cell r="BU355">
            <v>46.168954499999998</v>
          </cell>
          <cell r="BV355">
            <v>46.965192199999997</v>
          </cell>
          <cell r="BW355">
            <v>47.761388099999998</v>
          </cell>
          <cell r="BX355">
            <v>48.557657299999995</v>
          </cell>
          <cell r="BY355">
            <v>49.353895000000001</v>
          </cell>
          <cell r="BZ355">
            <v>50.150132699999993</v>
          </cell>
          <cell r="CA355">
            <v>50.946370399999992</v>
          </cell>
          <cell r="CB355">
            <v>51.742639599999997</v>
          </cell>
          <cell r="CC355">
            <v>52.538835499999998</v>
          </cell>
          <cell r="CD355">
            <v>53.335073199999997</v>
          </cell>
          <cell r="CE355">
            <v>54.131352700000001</v>
          </cell>
          <cell r="CF355">
            <v>54.927621900000005</v>
          </cell>
          <cell r="CG355">
            <v>55.723817799999999</v>
          </cell>
          <cell r="CH355">
            <v>56.520055499999998</v>
          </cell>
          <cell r="CI355">
            <v>57.316293199999997</v>
          </cell>
        </row>
        <row r="356">
          <cell r="AZ356">
            <v>10.299888900000001</v>
          </cell>
          <cell r="BA356">
            <v>11.480509899999999</v>
          </cell>
          <cell r="BB356">
            <v>15.905366299999999</v>
          </cell>
          <cell r="BC356">
            <v>19.878551000000002</v>
          </cell>
          <cell r="BD356">
            <v>20.509175999999997</v>
          </cell>
          <cell r="BE356">
            <v>21.009597899999996</v>
          </cell>
          <cell r="BF356">
            <v>21.509992700000002</v>
          </cell>
          <cell r="BG356">
            <v>22.010461399999997</v>
          </cell>
          <cell r="BH356">
            <v>22.510883299999996</v>
          </cell>
          <cell r="BI356">
            <v>23.011278099999998</v>
          </cell>
          <cell r="BJ356">
            <v>23.511700000000001</v>
          </cell>
          <cell r="BK356">
            <v>24.012141599999996</v>
          </cell>
          <cell r="BL356">
            <v>24.512590599999999</v>
          </cell>
          <cell r="BM356">
            <v>25.012985399999998</v>
          </cell>
          <cell r="BN356">
            <v>25.513407299999997</v>
          </cell>
          <cell r="BO356">
            <v>26.013848900000003</v>
          </cell>
          <cell r="BP356">
            <v>26.514243700000002</v>
          </cell>
          <cell r="BQ356">
            <v>27.014692700000001</v>
          </cell>
          <cell r="BR356">
            <v>27.5151146</v>
          </cell>
          <cell r="BS356">
            <v>28.015529099999998</v>
          </cell>
          <cell r="BT356">
            <v>28.515951000000001</v>
          </cell>
          <cell r="BU356">
            <v>29.016400000000001</v>
          </cell>
          <cell r="BV356">
            <v>29.5168219</v>
          </cell>
          <cell r="BW356">
            <v>30.017216699999999</v>
          </cell>
          <cell r="BX356">
            <v>30.517658300000001</v>
          </cell>
          <cell r="BY356">
            <v>31.0180802</v>
          </cell>
          <cell r="BZ356">
            <v>31.518502099999999</v>
          </cell>
          <cell r="CA356">
            <v>32.018923999999998</v>
          </cell>
          <cell r="CB356">
            <v>32.5193656</v>
          </cell>
          <cell r="CC356">
            <v>33.019760399999996</v>
          </cell>
          <cell r="CD356">
            <v>33.520182300000002</v>
          </cell>
          <cell r="CE356">
            <v>34.020631299999998</v>
          </cell>
          <cell r="CF356">
            <v>34.5210729</v>
          </cell>
          <cell r="CG356">
            <v>35.021467699999995</v>
          </cell>
          <cell r="CH356">
            <v>35.521889599999994</v>
          </cell>
          <cell r="CI356">
            <v>36.022311500000001</v>
          </cell>
        </row>
        <row r="357">
          <cell r="AZ357">
            <v>74.170011983392712</v>
          </cell>
          <cell r="BA357">
            <v>117.32683696483224</v>
          </cell>
          <cell r="BB357">
            <v>80.311832421427681</v>
          </cell>
          <cell r="BC357">
            <v>77.210083409538043</v>
          </cell>
          <cell r="BD357">
            <v>105.15144103383648</v>
          </cell>
          <cell r="BE357">
            <v>41.815487812341104</v>
          </cell>
          <cell r="BF357">
            <v>42.944941148381787</v>
          </cell>
          <cell r="BG357">
            <v>44.073790484422489</v>
          </cell>
          <cell r="BH357">
            <v>45.203035720463191</v>
          </cell>
          <cell r="BI357">
            <v>46.332489056503817</v>
          </cell>
          <cell r="BJ357">
            <v>47.461734292544492</v>
          </cell>
          <cell r="BK357">
            <v>48.590791728585202</v>
          </cell>
          <cell r="BL357">
            <v>49.719828864625867</v>
          </cell>
          <cell r="BM357">
            <v>50.849282200666494</v>
          </cell>
          <cell r="BN357">
            <v>51.978527436707111</v>
          </cell>
          <cell r="BO357">
            <v>53.107584872747822</v>
          </cell>
          <cell r="BP357">
            <v>54.23703820878842</v>
          </cell>
          <cell r="BQ357">
            <v>55.366075344829113</v>
          </cell>
          <cell r="BR357">
            <v>56.495320580869731</v>
          </cell>
          <cell r="BS357">
            <v>57.624586116910393</v>
          </cell>
          <cell r="BT357">
            <v>58.753831352951011</v>
          </cell>
          <cell r="BU357">
            <v>59.882868488991676</v>
          </cell>
          <cell r="BV357">
            <v>61.01211372503235</v>
          </cell>
          <cell r="BW357">
            <v>62.141567061072976</v>
          </cell>
          <cell r="BX357">
            <v>63.270624497113658</v>
          </cell>
          <cell r="BY357">
            <v>64.399869733154276</v>
          </cell>
          <cell r="BZ357">
            <v>65.529114969194893</v>
          </cell>
          <cell r="CA357">
            <v>66.658360205235567</v>
          </cell>
          <cell r="CB357">
            <v>67.787417641276249</v>
          </cell>
          <cell r="CC357">
            <v>68.916870977316876</v>
          </cell>
          <cell r="CD357">
            <v>70.04611621335755</v>
          </cell>
          <cell r="CE357">
            <v>71.175153349398158</v>
          </cell>
          <cell r="CF357">
            <v>72.304210785438897</v>
          </cell>
          <cell r="CG357">
            <v>73.433664121479467</v>
          </cell>
          <cell r="CH357">
            <v>74.562909357520198</v>
          </cell>
          <cell r="CI357">
            <v>75.692154593560758</v>
          </cell>
        </row>
        <row r="358">
          <cell r="AZ358">
            <v>48.414706199999998</v>
          </cell>
          <cell r="BA358">
            <v>53.964224199999997</v>
          </cell>
          <cell r="BB358">
            <v>74.76329539999999</v>
          </cell>
          <cell r="BC358">
            <v>88.938208000000003</v>
          </cell>
          <cell r="BD358">
            <v>89.879901000000004</v>
          </cell>
          <cell r="BE358">
            <v>92.072955199999996</v>
          </cell>
          <cell r="BF358">
            <v>94.265944099999999</v>
          </cell>
          <cell r="BG358">
            <v>96.459156199999995</v>
          </cell>
          <cell r="BH358">
            <v>98.652210399999987</v>
          </cell>
          <cell r="BI358">
            <v>100.84519929999999</v>
          </cell>
          <cell r="BJ358">
            <v>103.0382535</v>
          </cell>
          <cell r="BK358">
            <v>105.23140029999999</v>
          </cell>
          <cell r="BL358">
            <v>107.4245198</v>
          </cell>
          <cell r="BM358">
            <v>109.6175087</v>
          </cell>
          <cell r="BN358">
            <v>111.81056289999999</v>
          </cell>
          <cell r="BO358">
            <v>114.00370969999999</v>
          </cell>
          <cell r="BP358">
            <v>116.1966986</v>
          </cell>
          <cell r="BQ358">
            <v>118.38981809999999</v>
          </cell>
          <cell r="BR358">
            <v>120.58287229999999</v>
          </cell>
          <cell r="BS358">
            <v>122.7759538</v>
          </cell>
          <cell r="BT358">
            <v>124.969008</v>
          </cell>
          <cell r="BU358">
            <v>127.1621275</v>
          </cell>
          <cell r="BV358">
            <v>129.3551817</v>
          </cell>
          <cell r="BW358">
            <v>131.54817059999999</v>
          </cell>
          <cell r="BX358">
            <v>133.74131739999999</v>
          </cell>
          <cell r="BY358">
            <v>135.93437159999999</v>
          </cell>
          <cell r="BZ358">
            <v>138.1274258</v>
          </cell>
          <cell r="CA358">
            <v>140.32048</v>
          </cell>
          <cell r="CB358">
            <v>142.51362679999997</v>
          </cell>
          <cell r="CC358">
            <v>144.70661569999999</v>
          </cell>
          <cell r="CD358">
            <v>146.89966989999999</v>
          </cell>
          <cell r="CE358">
            <v>149.09278939999996</v>
          </cell>
          <cell r="CF358">
            <v>151.28593619999998</v>
          </cell>
          <cell r="CG358">
            <v>153.47892509999997</v>
          </cell>
          <cell r="CH358">
            <v>155.67197929999995</v>
          </cell>
          <cell r="CI358">
            <v>157.86503350000001</v>
          </cell>
        </row>
        <row r="359">
          <cell r="AZ359">
            <v>49.774082399999998</v>
          </cell>
          <cell r="BA359">
            <v>55.4794184</v>
          </cell>
          <cell r="BB359">
            <v>76.8624808</v>
          </cell>
          <cell r="BC359">
            <v>96.921216000000015</v>
          </cell>
          <cell r="BD359">
            <v>100.35441360000002</v>
          </cell>
          <cell r="BE359">
            <v>102.8030528</v>
          </cell>
          <cell r="BF359">
            <v>105.2515492</v>
          </cell>
          <cell r="BG359">
            <v>107.7004264</v>
          </cell>
          <cell r="BH359">
            <v>110.1490656</v>
          </cell>
          <cell r="BI359">
            <v>112.59756200000001</v>
          </cell>
          <cell r="BJ359">
            <v>115.04620120000001</v>
          </cell>
          <cell r="BK359">
            <v>117.49493560000001</v>
          </cell>
          <cell r="BL359">
            <v>119.94371760000001</v>
          </cell>
          <cell r="BM359">
            <v>122.39221400000001</v>
          </cell>
          <cell r="BN359">
            <v>124.8408532</v>
          </cell>
          <cell r="BO359">
            <v>127.28958759999999</v>
          </cell>
          <cell r="BP359">
            <v>129.73808400000001</v>
          </cell>
          <cell r="BQ359">
            <v>132.18686600000001</v>
          </cell>
          <cell r="BR359">
            <v>134.63550520000001</v>
          </cell>
          <cell r="BS359">
            <v>137.0840968</v>
          </cell>
          <cell r="BT359">
            <v>139.532736</v>
          </cell>
          <cell r="BU359">
            <v>141.98151799999999</v>
          </cell>
          <cell r="BV359">
            <v>144.4301572</v>
          </cell>
          <cell r="BW359">
            <v>146.87865360000001</v>
          </cell>
          <cell r="BX359">
            <v>149.32738799999998</v>
          </cell>
          <cell r="BY359">
            <v>151.77602719999999</v>
          </cell>
          <cell r="BZ359">
            <v>154.22466640000002</v>
          </cell>
          <cell r="CA359">
            <v>156.67330559999999</v>
          </cell>
          <cell r="CB359">
            <v>159.12204000000003</v>
          </cell>
          <cell r="CC359">
            <v>161.57053640000004</v>
          </cell>
          <cell r="CD359">
            <v>164.01917559999998</v>
          </cell>
          <cell r="CE359">
            <v>166.46795760000001</v>
          </cell>
          <cell r="CF359">
            <v>168.91669199999998</v>
          </cell>
          <cell r="CG359">
            <v>171.36518840000002</v>
          </cell>
          <cell r="CH359">
            <v>173.8138276</v>
          </cell>
          <cell r="CI359">
            <v>176.2624668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97EB-9A2B-D043-910F-DB5022F36370}">
  <dimension ref="A1:AK11"/>
  <sheetViews>
    <sheetView tabSelected="1" zoomScale="17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 x14ac:dyDescent="0.2"/>
  <cols>
    <col min="1" max="1" width="21" bestFit="1" customWidth="1"/>
    <col min="2" max="2" width="11.6640625" bestFit="1" customWidth="1"/>
  </cols>
  <sheetData>
    <row r="1" spans="1:3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1</v>
      </c>
      <c r="B2" s="1" cm="1">
        <f t="array" ref="B2:AK2">('[1]Transport. LDVs (Liao)'!$AZ354:$CI354) / 0.44</f>
        <v>88.161894531229237</v>
      </c>
      <c r="C2" s="1">
        <v>128.22614784844851</v>
      </c>
      <c r="D2" s="1">
        <v>106.55636967096611</v>
      </c>
      <c r="E2" s="1">
        <v>110.25311093434624</v>
      </c>
      <c r="F2" s="1">
        <v>134.57843252601705</v>
      </c>
      <c r="G2" s="1">
        <v>80.891338088972375</v>
      </c>
      <c r="H2" s="1">
        <v>82.933414569401464</v>
      </c>
      <c r="I2" s="1">
        <v>84.975061504376015</v>
      </c>
      <c r="J2" s="1">
        <v>87.016981393896032</v>
      </c>
      <c r="K2" s="1">
        <v>89.059057874325134</v>
      </c>
      <c r="L2" s="1">
        <v>91.100977763845137</v>
      </c>
      <c r="M2" s="1">
        <v>93.142781289728759</v>
      </c>
      <c r="N2" s="1">
        <v>95.184544588339648</v>
      </c>
      <c r="O2" s="1">
        <v>97.226621068768736</v>
      </c>
      <c r="P2" s="1">
        <v>99.268540958288725</v>
      </c>
      <c r="Q2" s="1">
        <v>101.3103444841723</v>
      </c>
      <c r="R2" s="1">
        <v>103.35242096460142</v>
      </c>
      <c r="S2" s="1">
        <v>105.39418426321231</v>
      </c>
      <c r="T2" s="1">
        <v>107.4361041527323</v>
      </c>
      <c r="U2" s="1">
        <v>109.47806426952495</v>
      </c>
      <c r="V2" s="1">
        <v>111.51998415904494</v>
      </c>
      <c r="W2" s="1">
        <v>113.56174745765583</v>
      </c>
      <c r="X2" s="1">
        <v>115.60366734717581</v>
      </c>
      <c r="Y2" s="1">
        <v>117.64574382760493</v>
      </c>
      <c r="Z2" s="1">
        <v>119.68754735348853</v>
      </c>
      <c r="AA2" s="1">
        <v>121.72946724300844</v>
      </c>
      <c r="AB2" s="1">
        <v>123.77138713252849</v>
      </c>
      <c r="AC2" s="1">
        <v>125.81330702204845</v>
      </c>
      <c r="AD2" s="1">
        <v>127.85511054793207</v>
      </c>
      <c r="AE2" s="1">
        <v>129.89718702836112</v>
      </c>
      <c r="AF2" s="1">
        <v>131.93910691788113</v>
      </c>
      <c r="AG2" s="1">
        <v>133.98087021649201</v>
      </c>
      <c r="AH2" s="1">
        <v>136.02267374237564</v>
      </c>
      <c r="AI2" s="1">
        <v>138.06475022280469</v>
      </c>
      <c r="AJ2" s="1">
        <v>140.10667011232471</v>
      </c>
      <c r="AK2" s="1">
        <v>142.14859000184467</v>
      </c>
    </row>
    <row r="3" spans="1:37" x14ac:dyDescent="0.2">
      <c r="A3" t="s">
        <v>4</v>
      </c>
      <c r="B3" s="1" cm="1">
        <f t="array" ref="B3:AK3">('[1]Transport. LDVs (Liao)'!$AZ355:$CI355) / 0.44</f>
        <v>37.430376136363634</v>
      </c>
      <c r="C3" s="1">
        <v>41.720819318181817</v>
      </c>
      <c r="D3" s="1">
        <v>57.800996590909094</v>
      </c>
      <c r="E3" s="1">
        <v>71.987261363636364</v>
      </c>
      <c r="F3" s="1">
        <v>74.165521363636358</v>
      </c>
      <c r="G3" s="1">
        <v>75.975152500000007</v>
      </c>
      <c r="H3" s="1">
        <v>77.784688636363654</v>
      </c>
      <c r="I3" s="1">
        <v>79.594486363636364</v>
      </c>
      <c r="J3" s="1">
        <v>81.404117499999998</v>
      </c>
      <c r="K3" s="1">
        <v>83.213653636363631</v>
      </c>
      <c r="L3" s="1">
        <v>85.023284772727266</v>
      </c>
      <c r="M3" s="1">
        <v>86.832987500000016</v>
      </c>
      <c r="N3" s="1">
        <v>88.642713636363638</v>
      </c>
      <c r="O3" s="1">
        <v>90.452249772727271</v>
      </c>
      <c r="P3" s="1">
        <v>92.261880909090891</v>
      </c>
      <c r="Q3" s="1">
        <v>94.071583636363656</v>
      </c>
      <c r="R3" s="1">
        <v>95.881119772727274</v>
      </c>
      <c r="S3" s="1">
        <v>97.690845909090896</v>
      </c>
      <c r="T3" s="1">
        <v>99.500477045454531</v>
      </c>
      <c r="U3" s="1">
        <v>101.31008477272728</v>
      </c>
      <c r="V3" s="1">
        <v>103.11971590909091</v>
      </c>
      <c r="W3" s="1">
        <v>104.92944204545454</v>
      </c>
      <c r="X3" s="1">
        <v>106.73907318181817</v>
      </c>
      <c r="Y3" s="1">
        <v>108.54860931818182</v>
      </c>
      <c r="Z3" s="1">
        <v>110.35831204545454</v>
      </c>
      <c r="AA3" s="1">
        <v>112.16794318181819</v>
      </c>
      <c r="AB3" s="1">
        <v>113.97757431818181</v>
      </c>
      <c r="AC3" s="1">
        <v>115.78720545454544</v>
      </c>
      <c r="AD3" s="1">
        <v>117.59690818181818</v>
      </c>
      <c r="AE3" s="1">
        <v>119.40644431818181</v>
      </c>
      <c r="AF3" s="1">
        <v>121.21607545454545</v>
      </c>
      <c r="AG3" s="1">
        <v>123.0258015909091</v>
      </c>
      <c r="AH3" s="1">
        <v>124.83550431818183</v>
      </c>
      <c r="AI3" s="1">
        <v>126.64504045454545</v>
      </c>
      <c r="AJ3" s="1">
        <v>128.45467159090907</v>
      </c>
      <c r="AK3" s="1">
        <v>130.26430272727271</v>
      </c>
    </row>
    <row r="4" spans="1:37" x14ac:dyDescent="0.2">
      <c r="A4" t="s">
        <v>5</v>
      </c>
      <c r="B4" s="1" cm="1">
        <f t="array" ref="B4:AK4">('[1]Transport. LDVs (Liao)'!$AZ356:$CI356) / 0.44</f>
        <v>23.408838409090912</v>
      </c>
      <c r="C4" s="1">
        <v>26.092067954545453</v>
      </c>
      <c r="D4" s="1">
        <v>36.148559772727268</v>
      </c>
      <c r="E4" s="1">
        <v>45.178525</v>
      </c>
      <c r="F4" s="1">
        <v>46.611763636363627</v>
      </c>
      <c r="G4" s="1">
        <v>47.74908613636363</v>
      </c>
      <c r="H4" s="1">
        <v>48.886347045454549</v>
      </c>
      <c r="I4" s="1">
        <v>50.023775909090901</v>
      </c>
      <c r="J4" s="1">
        <v>51.161098409090897</v>
      </c>
      <c r="K4" s="1">
        <v>52.298359318181816</v>
      </c>
      <c r="L4" s="1">
        <v>53.43568181818182</v>
      </c>
      <c r="M4" s="1">
        <v>54.57304909090908</v>
      </c>
      <c r="N4" s="1">
        <v>55.710433181818182</v>
      </c>
      <c r="O4" s="1">
        <v>56.847694090909087</v>
      </c>
      <c r="P4" s="1">
        <v>57.985016590909083</v>
      </c>
      <c r="Q4" s="1">
        <v>59.122383863636372</v>
      </c>
      <c r="R4" s="1">
        <v>60.259644772727277</v>
      </c>
      <c r="S4" s="1">
        <v>61.397028863636365</v>
      </c>
      <c r="T4" s="1">
        <v>62.534351363636361</v>
      </c>
      <c r="U4" s="1">
        <v>63.671657045454545</v>
      </c>
      <c r="V4" s="1">
        <v>64.808979545454548</v>
      </c>
      <c r="W4" s="1">
        <v>65.946363636363643</v>
      </c>
      <c r="X4" s="1">
        <v>67.083686136363639</v>
      </c>
      <c r="Y4" s="1">
        <v>68.220947045454537</v>
      </c>
      <c r="Z4" s="1">
        <v>69.358314318181826</v>
      </c>
      <c r="AA4" s="1">
        <v>70.495636818181822</v>
      </c>
      <c r="AB4" s="1">
        <v>71.632959318181818</v>
      </c>
      <c r="AC4" s="1">
        <v>72.770281818181815</v>
      </c>
      <c r="AD4" s="1">
        <v>73.907649090909089</v>
      </c>
      <c r="AE4" s="1">
        <v>75.044909999999987</v>
      </c>
      <c r="AF4" s="1">
        <v>76.182232499999998</v>
      </c>
      <c r="AG4" s="1">
        <v>77.319616590909092</v>
      </c>
      <c r="AH4" s="1">
        <v>78.456983863636367</v>
      </c>
      <c r="AI4" s="1">
        <v>79.594244772727265</v>
      </c>
      <c r="AJ4" s="1">
        <v>80.731567272727261</v>
      </c>
      <c r="AK4" s="1">
        <v>81.868889772727272</v>
      </c>
    </row>
    <row r="5" spans="1:37" x14ac:dyDescent="0.2">
      <c r="A5" t="s">
        <v>2</v>
      </c>
      <c r="B5" s="1" cm="1">
        <f t="array" ref="B5:AK5">(0.5 * '[1]Transport. LDVs (Liao)'!$AZ357:$CI357) / 0.44</f>
        <v>84.284104526582624</v>
      </c>
      <c r="C5" s="1">
        <v>133.32595109640027</v>
      </c>
      <c r="D5" s="1">
        <v>91.263445933440551</v>
      </c>
      <c r="E5" s="1">
        <v>87.738731147202316</v>
      </c>
      <c r="F5" s="1">
        <v>119.49027390208691</v>
      </c>
      <c r="G5" s="1">
        <v>47.517599786751255</v>
      </c>
      <c r="H5" s="1">
        <v>48.801069486797488</v>
      </c>
      <c r="I5" s="1">
        <v>50.083852823207373</v>
      </c>
      <c r="J5" s="1">
        <v>51.367086045980898</v>
      </c>
      <c r="K5" s="1">
        <v>52.650555746027067</v>
      </c>
      <c r="L5" s="1">
        <v>53.933788968800556</v>
      </c>
      <c r="M5" s="1">
        <v>55.216808782483184</v>
      </c>
      <c r="N5" s="1">
        <v>56.499805527983938</v>
      </c>
      <c r="O5" s="1">
        <v>57.783275228030107</v>
      </c>
      <c r="P5" s="1">
        <v>59.066508450803532</v>
      </c>
      <c r="Q5" s="1">
        <v>60.34952826448616</v>
      </c>
      <c r="R5" s="1">
        <v>61.632997964532294</v>
      </c>
      <c r="S5" s="1">
        <v>62.915994710033083</v>
      </c>
      <c r="T5" s="1">
        <v>64.199227932806508</v>
      </c>
      <c r="U5" s="1">
        <v>65.482484223761816</v>
      </c>
      <c r="V5" s="1">
        <v>66.765717446535234</v>
      </c>
      <c r="W5" s="1">
        <v>68.048714192036002</v>
      </c>
      <c r="X5" s="1">
        <v>69.331947414809491</v>
      </c>
      <c r="Y5" s="1">
        <v>70.61541711485566</v>
      </c>
      <c r="Z5" s="1">
        <v>71.898436928538246</v>
      </c>
      <c r="AA5" s="1">
        <v>73.181670151311678</v>
      </c>
      <c r="AB5" s="1">
        <v>74.464903374085111</v>
      </c>
      <c r="AC5" s="1">
        <v>75.7481365968586</v>
      </c>
      <c r="AD5" s="1">
        <v>77.031156410541186</v>
      </c>
      <c r="AE5" s="1">
        <v>78.314626110587355</v>
      </c>
      <c r="AF5" s="1">
        <v>79.597859333360859</v>
      </c>
      <c r="AG5" s="1">
        <v>80.880856078861541</v>
      </c>
      <c r="AH5" s="1">
        <v>82.163875892544198</v>
      </c>
      <c r="AI5" s="1">
        <v>83.44734559259031</v>
      </c>
      <c r="AJ5" s="1">
        <v>84.730578815363856</v>
      </c>
      <c r="AK5" s="1">
        <v>86.013812038137232</v>
      </c>
    </row>
    <row r="6" spans="1:37" x14ac:dyDescent="0.2">
      <c r="A6" t="s">
        <v>3</v>
      </c>
      <c r="B6" s="1" cm="1">
        <f t="array" ref="B6:AK6">(0.5 * '[1]Transport. LDVs (Liao)'!$AZ357:$CI357) / 0.44</f>
        <v>84.284104526582624</v>
      </c>
      <c r="C6" s="1">
        <v>133.32595109640027</v>
      </c>
      <c r="D6" s="1">
        <v>91.263445933440551</v>
      </c>
      <c r="E6" s="1">
        <v>87.738731147202316</v>
      </c>
      <c r="F6" s="1">
        <v>119.49027390208691</v>
      </c>
      <c r="G6" s="1">
        <v>47.517599786751255</v>
      </c>
      <c r="H6" s="1">
        <v>48.801069486797488</v>
      </c>
      <c r="I6" s="1">
        <v>50.083852823207373</v>
      </c>
      <c r="J6" s="1">
        <v>51.367086045980898</v>
      </c>
      <c r="K6" s="1">
        <v>52.650555746027067</v>
      </c>
      <c r="L6" s="1">
        <v>53.933788968800556</v>
      </c>
      <c r="M6" s="1">
        <v>55.216808782483184</v>
      </c>
      <c r="N6" s="1">
        <v>56.499805527983938</v>
      </c>
      <c r="O6" s="1">
        <v>57.783275228030107</v>
      </c>
      <c r="P6" s="1">
        <v>59.066508450803532</v>
      </c>
      <c r="Q6" s="1">
        <v>60.34952826448616</v>
      </c>
      <c r="R6" s="1">
        <v>61.632997964532294</v>
      </c>
      <c r="S6" s="1">
        <v>62.915994710033083</v>
      </c>
      <c r="T6" s="1">
        <v>64.199227932806508</v>
      </c>
      <c r="U6" s="1">
        <v>65.482484223761816</v>
      </c>
      <c r="V6" s="1">
        <v>66.765717446535234</v>
      </c>
      <c r="W6" s="1">
        <v>68.048714192036002</v>
      </c>
      <c r="X6" s="1">
        <v>69.331947414809491</v>
      </c>
      <c r="Y6" s="1">
        <v>70.61541711485566</v>
      </c>
      <c r="Z6" s="1">
        <v>71.898436928538246</v>
      </c>
      <c r="AA6" s="1">
        <v>73.181670151311678</v>
      </c>
      <c r="AB6" s="1">
        <v>74.464903374085111</v>
      </c>
      <c r="AC6" s="1">
        <v>75.7481365968586</v>
      </c>
      <c r="AD6" s="1">
        <v>77.031156410541186</v>
      </c>
      <c r="AE6" s="1">
        <v>78.314626110587355</v>
      </c>
      <c r="AF6" s="1">
        <v>79.597859333360859</v>
      </c>
      <c r="AG6" s="1">
        <v>80.880856078861541</v>
      </c>
      <c r="AH6" s="1">
        <v>82.163875892544198</v>
      </c>
      <c r="AI6" s="1">
        <v>83.44734559259031</v>
      </c>
      <c r="AJ6" s="1">
        <v>84.730578815363856</v>
      </c>
      <c r="AK6" s="1">
        <v>86.013812038137232</v>
      </c>
    </row>
    <row r="7" spans="1:37" x14ac:dyDescent="0.2">
      <c r="A7" t="s">
        <v>6</v>
      </c>
      <c r="B7" s="1" cm="1">
        <f t="array" ref="B7:AK7">('[1]Transport. LDVs (Liao)'!$AZ358:$CI358) / 0.44</f>
        <v>110.03342318181818</v>
      </c>
      <c r="C7" s="1">
        <v>122.64596409090909</v>
      </c>
      <c r="D7" s="1">
        <v>169.91658045454543</v>
      </c>
      <c r="E7" s="1">
        <v>202.13229090909093</v>
      </c>
      <c r="F7" s="1">
        <v>204.27250227272728</v>
      </c>
      <c r="G7" s="1">
        <v>209.25671636363634</v>
      </c>
      <c r="H7" s="1">
        <v>214.24078204545455</v>
      </c>
      <c r="I7" s="1">
        <v>219.22535499999998</v>
      </c>
      <c r="J7" s="1">
        <v>224.20956909090907</v>
      </c>
      <c r="K7" s="1">
        <v>229.19363477272725</v>
      </c>
      <c r="L7" s="1">
        <v>234.17784886363634</v>
      </c>
      <c r="M7" s="1">
        <v>239.16227340909089</v>
      </c>
      <c r="N7" s="1">
        <v>244.14663590909092</v>
      </c>
      <c r="O7" s="1">
        <v>249.1307015909091</v>
      </c>
      <c r="P7" s="1">
        <v>254.11491568181816</v>
      </c>
      <c r="Q7" s="1">
        <v>259.09934022727271</v>
      </c>
      <c r="R7" s="1">
        <v>264.08340590909091</v>
      </c>
      <c r="S7" s="1">
        <v>269.06776840909089</v>
      </c>
      <c r="T7" s="1">
        <v>274.05198249999995</v>
      </c>
      <c r="U7" s="1">
        <v>279.03625863636364</v>
      </c>
      <c r="V7" s="1">
        <v>284.0204727272727</v>
      </c>
      <c r="W7" s="1">
        <v>289.00483522727274</v>
      </c>
      <c r="X7" s="1">
        <v>293.9890493181818</v>
      </c>
      <c r="Y7" s="1">
        <v>298.97311500000001</v>
      </c>
      <c r="Z7" s="1">
        <v>303.95753954545449</v>
      </c>
      <c r="AA7" s="1">
        <v>308.94175363636361</v>
      </c>
      <c r="AB7" s="1">
        <v>313.92596772727273</v>
      </c>
      <c r="AC7" s="1">
        <v>318.9101818181818</v>
      </c>
      <c r="AD7" s="1">
        <v>323.89460636363629</v>
      </c>
      <c r="AE7" s="1">
        <v>328.87867204545449</v>
      </c>
      <c r="AF7" s="1">
        <v>333.86288613636361</v>
      </c>
      <c r="AG7" s="1">
        <v>338.84724863636353</v>
      </c>
      <c r="AH7" s="1">
        <v>343.83167318181813</v>
      </c>
      <c r="AI7" s="1">
        <v>348.81573886363628</v>
      </c>
      <c r="AJ7" s="1">
        <v>353.79995295454535</v>
      </c>
      <c r="AK7" s="1">
        <v>358.78416704545458</v>
      </c>
    </row>
    <row r="8" spans="1:37" x14ac:dyDescent="0.2">
      <c r="A8" t="s">
        <v>7</v>
      </c>
      <c r="B8" s="1" cm="1">
        <f t="array" ref="B8:AK8">('[1]Transport. LDVs (Liao)'!$AZ359:$CI359) / 0.44</f>
        <v>113.12291454545453</v>
      </c>
      <c r="C8" s="1">
        <v>126.08958727272727</v>
      </c>
      <c r="D8" s="1">
        <v>174.68745636363636</v>
      </c>
      <c r="E8" s="1">
        <v>220.27549090909093</v>
      </c>
      <c r="F8" s="1">
        <v>228.07821272727276</v>
      </c>
      <c r="G8" s="1">
        <v>233.64330181818181</v>
      </c>
      <c r="H8" s="1">
        <v>239.20806636363636</v>
      </c>
      <c r="I8" s="1">
        <v>244.77369636363636</v>
      </c>
      <c r="J8" s="1">
        <v>250.33878545454544</v>
      </c>
      <c r="K8" s="1">
        <v>255.90355000000002</v>
      </c>
      <c r="L8" s="1">
        <v>261.46863909090911</v>
      </c>
      <c r="M8" s="1">
        <v>267.03394454545457</v>
      </c>
      <c r="N8" s="1">
        <v>272.59935818181822</v>
      </c>
      <c r="O8" s="1">
        <v>278.16412272727274</v>
      </c>
      <c r="P8" s="1">
        <v>283.7292118181818</v>
      </c>
      <c r="Q8" s="1">
        <v>289.29451727272726</v>
      </c>
      <c r="R8" s="1">
        <v>294.85928181818184</v>
      </c>
      <c r="S8" s="1">
        <v>300.42469545454549</v>
      </c>
      <c r="T8" s="1">
        <v>305.9897845454546</v>
      </c>
      <c r="U8" s="1">
        <v>311.55476545454547</v>
      </c>
      <c r="V8" s="1">
        <v>317.11985454545453</v>
      </c>
      <c r="W8" s="1">
        <v>322.68526818181817</v>
      </c>
      <c r="X8" s="1">
        <v>328.25035727272729</v>
      </c>
      <c r="Y8" s="1">
        <v>333.81512181818181</v>
      </c>
      <c r="Z8" s="1">
        <v>339.38042727272722</v>
      </c>
      <c r="AA8" s="1">
        <v>344.94551636363633</v>
      </c>
      <c r="AB8" s="1">
        <v>350.5106054545455</v>
      </c>
      <c r="AC8" s="1">
        <v>356.07569454545455</v>
      </c>
      <c r="AD8" s="1">
        <v>361.64100000000008</v>
      </c>
      <c r="AE8" s="1">
        <v>367.20576454545466</v>
      </c>
      <c r="AF8" s="1">
        <v>372.7708536363636</v>
      </c>
      <c r="AG8" s="1">
        <v>378.3362672727273</v>
      </c>
      <c r="AH8" s="1">
        <v>383.90157272727271</v>
      </c>
      <c r="AI8" s="1">
        <v>389.46633727272734</v>
      </c>
      <c r="AJ8" s="1">
        <v>395.03142636363634</v>
      </c>
      <c r="AK8" s="1">
        <v>400.59651545454545</v>
      </c>
    </row>
    <row r="10" spans="1:37" x14ac:dyDescent="0.2">
      <c r="B10" s="2"/>
    </row>
    <row r="11" spans="1:37" x14ac:dyDescent="0.2">
      <c r="B1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2024-05-16T19:51:35Z</dcterms:created>
  <dcterms:modified xsi:type="dcterms:W3CDTF">2026-03-23T20:36:50Z</dcterms:modified>
</cp:coreProperties>
</file>