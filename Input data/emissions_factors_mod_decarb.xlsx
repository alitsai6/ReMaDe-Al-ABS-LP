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satsai/Documents/Winter 2025 University of Michigan/Aluminum optimization/"/>
    </mc:Choice>
  </mc:AlternateContent>
  <xr:revisionPtr revIDLastSave="0" documentId="13_ncr:1_{82FFED23-6E1B-1841-857E-CC4F8327E3B3}" xr6:coauthVersionLast="47" xr6:coauthVersionMax="47" xr10:uidLastSave="{00000000-0000-0000-0000-000000000000}"/>
  <bookViews>
    <workbookView xWindow="19260" yWindow="660" windowWidth="18980" windowHeight="19140" xr2:uid="{D76463E1-F36D-8943-84FF-21EF44FBFFEA}"/>
  </bookViews>
  <sheets>
    <sheet name="Sheet1" sheetId="2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H12" i="2" l="1" a="1"/>
  <c r="H12" i="2" s="1"/>
  <c r="B9" i="2" a="1"/>
  <c r="B9" i="2" s="1"/>
  <c r="B10" i="2" a="1"/>
  <c r="B10" i="2" s="1"/>
  <c r="B11" i="2" a="1"/>
  <c r="B11" i="2" s="1"/>
  <c r="B14" i="2" l="1" a="1"/>
  <c r="B14" i="2" s="1"/>
  <c r="B15" i="2" a="1"/>
  <c r="B15" i="2" s="1"/>
  <c r="B13" i="2" a="1"/>
  <c r="B13" i="2" s="1"/>
  <c r="B2" i="2" a="1"/>
  <c r="B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tc={8ED10C90-A143-2640-B565-EA1DFEC79178}</author>
  </authors>
  <commentList>
    <comment ref="B1" authorId="0" shapeId="0" xr:uid="{8ED10C90-A143-2640-B565-EA1DFEC79178}">
      <text>
        <t>[Threaded comment]
Your version of Excel allows you to read this threaded comment; however, any edits to it will get removed if the file is opened in a newer version of Excel. Learn more: https://go.microsoft.com/fwlink/?linkid=870924
Comment:
    Emissions factor [kgCO2eq/kt-out]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<sst xmlns="http://schemas.openxmlformats.org/spreadsheetml/2006/main" count="15" uniqueCount="15">
  <si>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Process</t>
  </si>
  <si>
    <t>Primary Al production</t>
  </si>
  <si>
    <t>Primary Cu production</t>
  </si>
  <si>
    <t>Primary Mg production</t>
  </si>
  <si>
    <t>Primary Mn production</t>
  </si>
  <si>
    <t>Primary Si production</t>
  </si>
  <si>
    <t>Primary Fe production</t>
  </si>
  <si>
    <t>Primary Zn production</t>
  </si>
  <si>
    <t>Scrap preparation</t>
  </si>
  <si>
    <t>Secondary Al production</t>
  </si>
  <si>
    <t>Fractional crystallization</t>
  </si>
  <si>
    <t>LIBS</t>
  </si>
  <si>
    <t>Sheet rolling</t>
  </si>
  <si>
    <t>Vehicle assembly</t>
  </si>
  <si>
    <t>Sheet blanking &amp; stamping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</si>
</sst>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5%20University%20of%20Michigan/Aluminum%20optimization/Internal%20CSP%20steel%20and%20aluminum%20calculations.xlsx" TargetMode="External"/><Relationship Id="rId1" Type="http://schemas.openxmlformats.org/officeDocument/2006/relationships/externalLinkPath" Target="Internal%20CSP%20steel%20and%20aluminum%20calcula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wnloads/2024%20electricity%20and%20Natural%20Gas%20emission%20factors.xlsx" TargetMode="External"/><Relationship Id="rId1" Type="http://schemas.openxmlformats.org/officeDocument/2006/relationships/externalLinkPath" Target="/Users/alissatsai/Downloads/2024%20electricity%20and%20Natural%20Gas%20emission%20fac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arb_trajectories"/>
      <sheetName val="Aluminum_Delivered Energy"/>
      <sheetName val="Primary Energy &amp;Emission Factor"/>
      <sheetName val="Steel"/>
      <sheetName val="Steel (State of Art - SOR)"/>
      <sheetName val="Steel scenarios"/>
    </sheetNames>
    <sheetDataSet>
      <sheetData sheetId="0">
        <row r="25">
          <cell r="B25">
            <v>8.51</v>
          </cell>
          <cell r="C25">
            <v>8.4223165786215812</v>
          </cell>
          <cell r="D25">
            <v>8.3346331572431627</v>
          </cell>
          <cell r="E25">
            <v>8.2469497358647441</v>
          </cell>
          <cell r="F25">
            <v>8.1592663144863256</v>
          </cell>
          <cell r="G25">
            <v>8.0715828931079106</v>
          </cell>
          <cell r="H25">
            <v>8.0715828931079106</v>
          </cell>
          <cell r="I25">
            <v>8.0715828931079106</v>
          </cell>
          <cell r="J25">
            <v>8.0715828931079106</v>
          </cell>
          <cell r="K25">
            <v>7.9015220126037597</v>
          </cell>
          <cell r="L25">
            <v>7.7314611320996089</v>
          </cell>
          <cell r="M25">
            <v>7.5614002515954581</v>
          </cell>
          <cell r="N25">
            <v>7.3913393710913073</v>
          </cell>
          <cell r="O25">
            <v>7.2212784905871565</v>
          </cell>
          <cell r="P25">
            <v>7.0512176100830057</v>
          </cell>
          <cell r="Q25">
            <v>6.8811567295788549</v>
          </cell>
          <cell r="R25">
            <v>6.7110958490747041</v>
          </cell>
          <cell r="S25">
            <v>6.5410349685705533</v>
          </cell>
          <cell r="T25">
            <v>6.3709740880664025</v>
          </cell>
          <cell r="U25">
            <v>6.2009132075622517</v>
          </cell>
          <cell r="V25">
            <v>6.0308523270581009</v>
          </cell>
          <cell r="W25">
            <v>5.8607914465539501</v>
          </cell>
          <cell r="X25">
            <v>5.6907305660497993</v>
          </cell>
          <cell r="Y25">
            <v>5.5206696855456485</v>
          </cell>
          <cell r="Z25">
            <v>5.3506088050414977</v>
          </cell>
          <cell r="AA25">
            <v>5.1805479245373469</v>
          </cell>
          <cell r="AB25">
            <v>5.0104870440331961</v>
          </cell>
          <cell r="AC25">
            <v>4.8404261635290453</v>
          </cell>
          <cell r="AD25">
            <v>4.6703652830248945</v>
          </cell>
          <cell r="AE25">
            <v>4.5003044025207437</v>
          </cell>
          <cell r="AF25">
            <v>4.3302435220165929</v>
          </cell>
          <cell r="AG25">
            <v>4.1601826415124421</v>
          </cell>
          <cell r="AH25">
            <v>3.9901217610082917</v>
          </cell>
          <cell r="AI25">
            <v>3.8200608805041414</v>
          </cell>
          <cell r="AJ25">
            <v>3.65</v>
          </cell>
        </row>
        <row r="26">
          <cell r="B26">
            <v>0.51300000000000001</v>
          </cell>
          <cell r="C26">
            <v>0.51300000000000001</v>
          </cell>
          <cell r="D26">
            <v>0.51300000000000001</v>
          </cell>
          <cell r="E26">
            <v>0.51300000000000001</v>
          </cell>
          <cell r="F26">
            <v>0.51300000000000001</v>
          </cell>
          <cell r="G26">
            <v>0.51300000000000001</v>
          </cell>
          <cell r="H26">
            <v>0.51300000000000001</v>
          </cell>
          <cell r="I26">
            <v>0.51300000000000001</v>
          </cell>
          <cell r="J26">
            <v>0.51300000000000001</v>
          </cell>
          <cell r="K26">
            <v>0.51300000000000001</v>
          </cell>
          <cell r="L26">
            <v>0.51300000000000001</v>
          </cell>
          <cell r="M26">
            <v>0.51300000000000001</v>
          </cell>
          <cell r="N26">
            <v>0.51300000000000001</v>
          </cell>
          <cell r="O26">
            <v>0.51300000000000001</v>
          </cell>
          <cell r="P26">
            <v>0.51300000000000001</v>
          </cell>
          <cell r="Q26">
            <v>0.51300000000000001</v>
          </cell>
          <cell r="R26">
            <v>0.51300000000000001</v>
          </cell>
          <cell r="S26">
            <v>0.51300000000000001</v>
          </cell>
          <cell r="T26">
            <v>0.51300000000000001</v>
          </cell>
          <cell r="U26">
            <v>0.51300000000000001</v>
          </cell>
          <cell r="V26">
            <v>0.51300000000000001</v>
          </cell>
          <cell r="W26">
            <v>0.51300000000000001</v>
          </cell>
          <cell r="X26">
            <v>0.51300000000000001</v>
          </cell>
          <cell r="Y26">
            <v>0.51300000000000001</v>
          </cell>
          <cell r="Z26">
            <v>0.51300000000000001</v>
          </cell>
          <cell r="AA26">
            <v>0.51300000000000001</v>
          </cell>
          <cell r="AB26">
            <v>0.51300000000000001</v>
          </cell>
          <cell r="AC26">
            <v>0.51300000000000001</v>
          </cell>
          <cell r="AD26">
            <v>0.51300000000000001</v>
          </cell>
          <cell r="AE26">
            <v>0.51300000000000001</v>
          </cell>
          <cell r="AF26">
            <v>0.51300000000000001</v>
          </cell>
          <cell r="AG26">
            <v>0.51300000000000001</v>
          </cell>
          <cell r="AH26">
            <v>0.51300000000000001</v>
          </cell>
          <cell r="AI26">
            <v>0.51300000000000001</v>
          </cell>
          <cell r="AJ26">
            <v>0.51300000000000001</v>
          </cell>
        </row>
        <row r="27">
          <cell r="B27">
            <v>4.3692982456140346E-2</v>
          </cell>
          <cell r="C27">
            <v>4.3692982456140346E-2</v>
          </cell>
          <cell r="D27">
            <v>4.3692982456140346E-2</v>
          </cell>
          <cell r="E27">
            <v>4.3692982456140346E-2</v>
          </cell>
          <cell r="F27">
            <v>4.3692982456140346E-2</v>
          </cell>
          <cell r="G27">
            <v>4.3692982456140346E-2</v>
          </cell>
          <cell r="H27">
            <v>4.3692982456140346E-2</v>
          </cell>
          <cell r="I27">
            <v>4.3692982456140346E-2</v>
          </cell>
          <cell r="J27">
            <v>4.3692982456140346E-2</v>
          </cell>
          <cell r="K27">
            <v>4.315789473684211E-2</v>
          </cell>
          <cell r="L27">
            <v>4.315789473684211E-2</v>
          </cell>
          <cell r="M27">
            <v>4.315789473684211E-2</v>
          </cell>
          <cell r="N27">
            <v>4.315789473684211E-2</v>
          </cell>
          <cell r="O27">
            <v>4.315789473684211E-2</v>
          </cell>
          <cell r="P27">
            <v>4.315789473684211E-2</v>
          </cell>
          <cell r="Q27">
            <v>4.315789473684211E-2</v>
          </cell>
          <cell r="R27">
            <v>4.315789473684211E-2</v>
          </cell>
          <cell r="S27">
            <v>4.315789473684211E-2</v>
          </cell>
          <cell r="T27">
            <v>4.315789473684211E-2</v>
          </cell>
          <cell r="U27">
            <v>4.315789473684211E-2</v>
          </cell>
          <cell r="V27">
            <v>4.315789473684211E-2</v>
          </cell>
          <cell r="W27">
            <v>4.315789473684211E-2</v>
          </cell>
          <cell r="X27">
            <v>4.315789473684211E-2</v>
          </cell>
          <cell r="Y27">
            <v>4.315789473684211E-2</v>
          </cell>
          <cell r="Z27">
            <v>4.315789473684211E-2</v>
          </cell>
          <cell r="AA27">
            <v>4.315789473684211E-2</v>
          </cell>
          <cell r="AB27">
            <v>4.315789473684211E-2</v>
          </cell>
          <cell r="AC27">
            <v>4.315789473684211E-2</v>
          </cell>
          <cell r="AD27">
            <v>4.315789473684211E-2</v>
          </cell>
          <cell r="AE27">
            <v>4.3157894736842103E-2</v>
          </cell>
          <cell r="AF27">
            <v>4.315789473684211E-2</v>
          </cell>
          <cell r="AG27">
            <v>4.315789473684211E-2</v>
          </cell>
          <cell r="AH27">
            <v>4.315789473684211E-2</v>
          </cell>
          <cell r="AI27">
            <v>4.315789473684211E-2</v>
          </cell>
          <cell r="AJ27">
            <v>4.315789473684211E-2</v>
          </cell>
        </row>
        <row r="29">
          <cell r="B29">
            <v>0.623</v>
          </cell>
          <cell r="C29">
            <v>0.623</v>
          </cell>
          <cell r="D29">
            <v>0.623</v>
          </cell>
          <cell r="E29">
            <v>0.623</v>
          </cell>
          <cell r="F29">
            <v>0.623</v>
          </cell>
          <cell r="G29">
            <v>0.623</v>
          </cell>
          <cell r="H29">
            <v>0.623</v>
          </cell>
          <cell r="I29">
            <v>0.623</v>
          </cell>
          <cell r="J29">
            <v>0.623</v>
          </cell>
          <cell r="K29">
            <v>0.6227272727272728</v>
          </cell>
          <cell r="L29">
            <v>0.60294575020983388</v>
          </cell>
          <cell r="M29">
            <v>0.58316422769239507</v>
          </cell>
          <cell r="N29">
            <v>0.56338270517495648</v>
          </cell>
          <cell r="O29">
            <v>0.54360118265751778</v>
          </cell>
          <cell r="P29">
            <v>0.52382599428113474</v>
          </cell>
          <cell r="Q29">
            <v>0.52050690436786617</v>
          </cell>
          <cell r="R29">
            <v>0.51719414859565349</v>
          </cell>
          <cell r="S29">
            <v>0.51387505868238481</v>
          </cell>
          <cell r="T29">
            <v>0.51056230291017202</v>
          </cell>
          <cell r="U29">
            <v>0.50724954713795922</v>
          </cell>
          <cell r="V29">
            <v>0.50616007487635206</v>
          </cell>
          <cell r="W29">
            <v>0.50507060261474479</v>
          </cell>
          <cell r="X29">
            <v>0.5039874644941934</v>
          </cell>
          <cell r="Y29">
            <v>0.50289799223258602</v>
          </cell>
          <cell r="Z29">
            <v>0.50181485411203475</v>
          </cell>
          <cell r="AA29">
            <v>0.50070637942725982</v>
          </cell>
          <cell r="AB29">
            <v>0.49960423888354083</v>
          </cell>
          <cell r="AC29">
            <v>0.49850209833982195</v>
          </cell>
          <cell r="AD29">
            <v>0.49739995779610297</v>
          </cell>
          <cell r="AE29">
            <v>0.49629781725238403</v>
          </cell>
          <cell r="AF29">
            <v>0.49460660159047037</v>
          </cell>
          <cell r="AG29">
            <v>0.49291538592855683</v>
          </cell>
          <cell r="AH29">
            <v>0.49123050440769905</v>
          </cell>
          <cell r="AI29">
            <v>0.48953928874578545</v>
          </cell>
          <cell r="AJ29">
            <v>0.48785440722492779</v>
          </cell>
        </row>
        <row r="30">
          <cell r="B30">
            <v>6.8167106507991834E-2</v>
          </cell>
          <cell r="C30">
            <v>6.8167106507991834E-2</v>
          </cell>
          <cell r="D30">
            <v>6.8167106507991834E-2</v>
          </cell>
          <cell r="E30">
            <v>6.8167106507991834E-2</v>
          </cell>
          <cell r="F30">
            <v>6.8167106507991834E-2</v>
          </cell>
          <cell r="G30">
            <v>6.8167106507991834E-2</v>
          </cell>
          <cell r="H30">
            <v>6.8167106507991834E-2</v>
          </cell>
          <cell r="I30">
            <v>6.8167106507991834E-2</v>
          </cell>
          <cell r="J30">
            <v>6.8167106507991834E-2</v>
          </cell>
          <cell r="K30">
            <v>6.8167106507991834E-2</v>
          </cell>
          <cell r="L30">
            <v>6.2614817278831683E-2</v>
          </cell>
          <cell r="M30">
            <v>5.7062528049671525E-2</v>
          </cell>
          <cell r="N30">
            <v>5.1510238820511381E-2</v>
          </cell>
          <cell r="O30">
            <v>4.595794959135123E-2</v>
          </cell>
          <cell r="P30">
            <v>4.0407438232581458E-2</v>
          </cell>
          <cell r="Q30">
            <v>3.9475834148021777E-2</v>
          </cell>
          <cell r="R30">
            <v>3.8546007933852461E-2</v>
          </cell>
          <cell r="S30">
            <v>3.7614403849292773E-2</v>
          </cell>
          <cell r="T30">
            <v>3.668457763512345E-2</v>
          </cell>
          <cell r="U30">
            <v>3.5754751420954148E-2</v>
          </cell>
          <cell r="V30">
            <v>3.5448957713808592E-2</v>
          </cell>
          <cell r="W30">
            <v>3.5143164006663043E-2</v>
          </cell>
          <cell r="X30">
            <v>3.483914816990788E-2</v>
          </cell>
          <cell r="Y30">
            <v>3.4533354462762331E-2</v>
          </cell>
          <cell r="Z30">
            <v>3.4229338626007175E-2</v>
          </cell>
          <cell r="AA30">
            <v>3.3918211307690481E-2</v>
          </cell>
          <cell r="AB30">
            <v>3.3608861859764166E-2</v>
          </cell>
          <cell r="AC30">
            <v>3.3299512411837859E-2</v>
          </cell>
          <cell r="AD30">
            <v>3.2990162963911544E-2</v>
          </cell>
          <cell r="AE30">
            <v>3.2680813515985237E-2</v>
          </cell>
          <cell r="AF30">
            <v>3.2206122121753479E-2</v>
          </cell>
          <cell r="AG30">
            <v>3.1731430727521728E-2</v>
          </cell>
          <cell r="AH30">
            <v>3.1258517203680364E-2</v>
          </cell>
          <cell r="AI30">
            <v>3.078382580944861E-2</v>
          </cell>
          <cell r="AJ30">
            <v>3.0310912285607238E-2</v>
          </cell>
        </row>
        <row r="31">
          <cell r="B31">
            <v>0.251</v>
          </cell>
          <cell r="C31">
            <v>0.251</v>
          </cell>
          <cell r="D31">
            <v>0.251</v>
          </cell>
          <cell r="E31">
            <v>0.251</v>
          </cell>
          <cell r="F31">
            <v>0.251</v>
          </cell>
          <cell r="G31">
            <v>0.251</v>
          </cell>
          <cell r="H31">
            <v>0.251</v>
          </cell>
          <cell r="I31">
            <v>0.251</v>
          </cell>
          <cell r="J31">
            <v>0.251</v>
          </cell>
          <cell r="K31">
            <v>0.25125628140703515</v>
          </cell>
          <cell r="L31">
            <v>0.23938651580368067</v>
          </cell>
          <cell r="M31">
            <v>0.22751675020032611</v>
          </cell>
          <cell r="N31">
            <v>0.21564698459697162</v>
          </cell>
          <cell r="O31">
            <v>0.20377721899361712</v>
          </cell>
          <cell r="P31">
            <v>0.19191125414774043</v>
          </cell>
          <cell r="Q31">
            <v>0.18991965722934218</v>
          </cell>
          <cell r="R31">
            <v>0.18793186106842177</v>
          </cell>
          <cell r="S31">
            <v>0.18594026415002352</v>
          </cell>
          <cell r="T31">
            <v>0.18395246798910309</v>
          </cell>
          <cell r="U31">
            <v>0.18196467182818271</v>
          </cell>
          <cell r="V31">
            <v>0.1813109415419909</v>
          </cell>
          <cell r="W31">
            <v>0.18065721125579909</v>
          </cell>
          <cell r="X31">
            <v>0.18000728172708516</v>
          </cell>
          <cell r="Y31">
            <v>0.17935355144089335</v>
          </cell>
          <cell r="Z31">
            <v>0.17870362191217945</v>
          </cell>
          <cell r="AA31">
            <v>0.17803848935355407</v>
          </cell>
          <cell r="AB31">
            <v>0.17737715755240654</v>
          </cell>
          <cell r="AC31">
            <v>0.17671582575125905</v>
          </cell>
          <cell r="AD31">
            <v>0.17605449395011152</v>
          </cell>
          <cell r="AE31">
            <v>0.17539316214896397</v>
          </cell>
          <cell r="AF31">
            <v>0.17437835990237557</v>
          </cell>
          <cell r="AG31">
            <v>0.17336355765578715</v>
          </cell>
          <cell r="AH31">
            <v>0.17235255616667658</v>
          </cell>
          <cell r="AI31">
            <v>0.17133775392008815</v>
          </cell>
          <cell r="AJ31">
            <v>0.17032675243097758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EF results only"/>
      <sheetName val="EF calculation from GREET 2025+"/>
      <sheetName val="EF calculation from GREET"/>
      <sheetName val="Electricity mix AEO2023"/>
      <sheetName val="Electricity mix  AEO2023 LowIRA"/>
      <sheetName val="Electricity mix  AEO2023 highIR"/>
      <sheetName val="Electricity mix  AEO2023 noIRA"/>
      <sheetName val="Renewable AEO2023"/>
      <sheetName val="Renewable AEO2023 (2)"/>
      <sheetName val="Renewable AEO2023 (3)"/>
      <sheetName val="Renewable AEO2023 (4)"/>
    </sheetNames>
    <sheetDataSet>
      <sheetData sheetId="0" refreshError="1"/>
      <sheetData sheetId="1">
        <row r="26">
          <cell r="B26">
            <v>300</v>
          </cell>
          <cell r="C26">
            <v>287.23959137288642</v>
          </cell>
          <cell r="D26">
            <v>274.47918274577279</v>
          </cell>
          <cell r="E26">
            <v>261.71877411865927</v>
          </cell>
          <cell r="F26">
            <v>240.40234130434609</v>
          </cell>
          <cell r="G26">
            <v>219.08590849003295</v>
          </cell>
          <cell r="H26">
            <v>197.76947567571978</v>
          </cell>
          <cell r="I26">
            <v>176.45304286140669</v>
          </cell>
          <cell r="J26">
            <v>155.13661004709354</v>
          </cell>
          <cell r="K26">
            <v>151.56393178510532</v>
          </cell>
          <cell r="L26">
            <v>147.99125352311714</v>
          </cell>
          <cell r="M26">
            <v>144.41857526112895</v>
          </cell>
          <cell r="N26">
            <v>140.84589699914076</v>
          </cell>
          <cell r="O26">
            <v>137.27321873715258</v>
          </cell>
          <cell r="P26">
            <v>136.10205463857403</v>
          </cell>
          <cell r="Q26">
            <v>134.93089053999549</v>
          </cell>
          <cell r="R26">
            <v>133.75972644141697</v>
          </cell>
          <cell r="S26">
            <v>132.58856234283843</v>
          </cell>
          <cell r="T26">
            <v>131.41739824425989</v>
          </cell>
          <cell r="U26">
            <v>130.22807662956356</v>
          </cell>
          <cell r="V26">
            <v>129.03875501486723</v>
          </cell>
          <cell r="W26">
            <v>127.84943340017092</v>
          </cell>
          <cell r="X26">
            <v>126.66011178547458</v>
          </cell>
          <cell r="Y26">
            <v>125.47079017077827</v>
          </cell>
          <cell r="Z26">
            <v>123.65099250394809</v>
          </cell>
          <cell r="AA26">
            <v>121.83119483711792</v>
          </cell>
          <cell r="AB26">
            <v>120.01139717028776</v>
          </cell>
          <cell r="AC26">
            <v>118.19159950345758</v>
          </cell>
          <cell r="AD26">
            <v>116.37180183662741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issa Tsai" id="{2A1A1DC4-4ABD-174B-84B6-2DFC192BBED1}" userId="S::at1107@georgetown.edu::3a0ccb91-cc3d-4d49-8b54-613ca2dfc25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2-03T18:07:59.57" personId="{2A1A1DC4-4ABD-174B-84B6-2DFC192BBED1}" id="{8ED10C90-A143-2640-B565-EA1DFEC79178}">
    <text>Emissions factor [kgCO2eq/kt-out]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0C46-4270-314A-8DA9-EFC85093EC8C}">
  <dimension ref="A1:AJ15"/>
  <sheetViews>
    <sheetView tabSelected="1" zoomScale="180" workbookViewId="0">
      <selection activeCell="B10" sqref="B10"/>
    </sheetView>
  </sheetViews>
  <sheetFormatPr baseColWidth="10" defaultRowHeight="16" x14ac:dyDescent="0.2"/>
  <cols>
    <col min="1" max="1" width="21" bestFit="1" customWidth="1"/>
    <col min="2" max="2" width="29.83203125" bestFit="1" customWidth="1"/>
  </cols>
  <sheetData>
    <row r="1" spans="1:36" x14ac:dyDescent="0.2">
      <c r="A1" t="s">
        <v>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1</v>
      </c>
      <c r="B2" cm="1">
        <f t="array" ref="B2:AJ2">[1]Decarb_trajectories!$B$25:$AJ$25 * 1000000</f>
        <v>8510000</v>
      </c>
      <c r="C2">
        <v>8422316.5786215812</v>
      </c>
      <c r="D2">
        <v>8334633.1572431624</v>
      </c>
      <c r="E2">
        <v>8246949.7358647445</v>
      </c>
      <c r="F2">
        <v>8159266.3144863257</v>
      </c>
      <c r="G2">
        <v>8071582.8931079106</v>
      </c>
      <c r="H2">
        <v>8071582.8931079106</v>
      </c>
      <c r="I2">
        <v>8071582.8931079106</v>
      </c>
      <c r="J2">
        <v>8071582.8931079106</v>
      </c>
      <c r="K2">
        <v>7901522.0126037598</v>
      </c>
      <c r="L2">
        <v>7731461.1320996089</v>
      </c>
      <c r="M2">
        <v>7561400.251595458</v>
      </c>
      <c r="N2">
        <v>7391339.3710913071</v>
      </c>
      <c r="O2">
        <v>7221278.4905871563</v>
      </c>
      <c r="P2">
        <v>7051217.6100830054</v>
      </c>
      <c r="Q2">
        <v>6881156.7295788545</v>
      </c>
      <c r="R2">
        <v>6711095.8490747046</v>
      </c>
      <c r="S2">
        <v>6541034.9685705537</v>
      </c>
      <c r="T2">
        <v>6370974.0880664028</v>
      </c>
      <c r="U2">
        <v>6200913.2075622519</v>
      </c>
      <c r="V2">
        <v>6030852.3270581011</v>
      </c>
      <c r="W2">
        <v>5860791.4465539502</v>
      </c>
      <c r="X2">
        <v>5690730.5660497993</v>
      </c>
      <c r="Y2">
        <v>5520669.6855456484</v>
      </c>
      <c r="Z2">
        <v>5350608.8050414976</v>
      </c>
      <c r="AA2">
        <v>5180547.9245373467</v>
      </c>
      <c r="AB2">
        <v>5010487.0440331958</v>
      </c>
      <c r="AC2">
        <v>4840426.1635290449</v>
      </c>
      <c r="AD2">
        <v>4670365.2830248941</v>
      </c>
      <c r="AE2">
        <v>4500304.4025207441</v>
      </c>
      <c r="AF2">
        <v>4330243.5220165933</v>
      </c>
      <c r="AG2">
        <v>4160182.6415124419</v>
      </c>
      <c r="AH2">
        <v>3990121.761008292</v>
      </c>
      <c r="AI2">
        <v>3820060.8805041416</v>
      </c>
      <c r="AJ2">
        <v>3650000</v>
      </c>
    </row>
    <row r="3" spans="1:36" x14ac:dyDescent="0.2">
      <c r="A3" t="s">
        <v>2</v>
      </c>
      <c r="B3" cm="1">
        <f t="array" ref="B3:AJ3">[1]Decarb_trajectories!$B$25:$AJ$25 * 1000000</f>
        <v>8510000</v>
      </c>
      <c r="C3">
        <v>8422316.5786215812</v>
      </c>
      <c r="D3">
        <v>8334633.1572431624</v>
      </c>
      <c r="E3">
        <v>8246949.7358647445</v>
      </c>
      <c r="F3">
        <v>8159266.3144863257</v>
      </c>
      <c r="G3">
        <v>8071582.8931079106</v>
      </c>
      <c r="H3">
        <v>8071582.8931079106</v>
      </c>
      <c r="I3">
        <v>8071582.8931079106</v>
      </c>
      <c r="J3">
        <v>8071582.8931079106</v>
      </c>
      <c r="K3">
        <v>7901522.0126037598</v>
      </c>
      <c r="L3">
        <v>7731461.1320996089</v>
      </c>
      <c r="M3">
        <v>7561400.251595458</v>
      </c>
      <c r="N3">
        <v>7391339.3710913071</v>
      </c>
      <c r="O3">
        <v>7221278.4905871563</v>
      </c>
      <c r="P3">
        <v>7051217.6100830054</v>
      </c>
      <c r="Q3">
        <v>6881156.7295788545</v>
      </c>
      <c r="R3">
        <v>6711095.8490747046</v>
      </c>
      <c r="S3">
        <v>6541034.9685705537</v>
      </c>
      <c r="T3">
        <v>6370974.0880664028</v>
      </c>
      <c r="U3">
        <v>6200913.2075622519</v>
      </c>
      <c r="V3">
        <v>6030852.3270581011</v>
      </c>
      <c r="W3">
        <v>5860791.4465539502</v>
      </c>
      <c r="X3">
        <v>5690730.5660497993</v>
      </c>
      <c r="Y3">
        <v>5520669.6855456484</v>
      </c>
      <c r="Z3">
        <v>5350608.8050414976</v>
      </c>
      <c r="AA3">
        <v>5180547.9245373467</v>
      </c>
      <c r="AB3">
        <v>5010487.0440331958</v>
      </c>
      <c r="AC3">
        <v>4840426.1635290449</v>
      </c>
      <c r="AD3">
        <v>4670365.2830248941</v>
      </c>
      <c r="AE3">
        <v>4500304.4025207441</v>
      </c>
      <c r="AF3">
        <v>4330243.5220165933</v>
      </c>
      <c r="AG3">
        <v>4160182.6415124419</v>
      </c>
      <c r="AH3">
        <v>3990121.761008292</v>
      </c>
      <c r="AI3">
        <v>3820060.8805041416</v>
      </c>
      <c r="AJ3">
        <v>3650000</v>
      </c>
    </row>
    <row r="4" spans="1:36" x14ac:dyDescent="0.2">
      <c r="A4" t="s">
        <v>3</v>
      </c>
      <c r="B4" cm="1">
        <f t="array" ref="B4:AJ4">[1]Decarb_trajectories!$B$25:$AJ$25 * 1000000</f>
        <v>8510000</v>
      </c>
      <c r="C4">
        <v>8422316.5786215812</v>
      </c>
      <c r="D4">
        <v>8334633.1572431624</v>
      </c>
      <c r="E4">
        <v>8246949.7358647445</v>
      </c>
      <c r="F4">
        <v>8159266.3144863257</v>
      </c>
      <c r="G4">
        <v>8071582.8931079106</v>
      </c>
      <c r="H4">
        <v>8071582.8931079106</v>
      </c>
      <c r="I4">
        <v>8071582.8931079106</v>
      </c>
      <c r="J4">
        <v>8071582.8931079106</v>
      </c>
      <c r="K4">
        <v>7901522.0126037598</v>
      </c>
      <c r="L4">
        <v>7731461.1320996089</v>
      </c>
      <c r="M4">
        <v>7561400.251595458</v>
      </c>
      <c r="N4">
        <v>7391339.3710913071</v>
      </c>
      <c r="O4">
        <v>7221278.4905871563</v>
      </c>
      <c r="P4">
        <v>7051217.6100830054</v>
      </c>
      <c r="Q4">
        <v>6881156.7295788545</v>
      </c>
      <c r="R4">
        <v>6711095.8490747046</v>
      </c>
      <c r="S4">
        <v>6541034.9685705537</v>
      </c>
      <c r="T4">
        <v>6370974.0880664028</v>
      </c>
      <c r="U4">
        <v>6200913.2075622519</v>
      </c>
      <c r="V4">
        <v>6030852.3270581011</v>
      </c>
      <c r="W4">
        <v>5860791.4465539502</v>
      </c>
      <c r="X4">
        <v>5690730.5660497993</v>
      </c>
      <c r="Y4">
        <v>5520669.6855456484</v>
      </c>
      <c r="Z4">
        <v>5350608.8050414976</v>
      </c>
      <c r="AA4">
        <v>5180547.9245373467</v>
      </c>
      <c r="AB4">
        <v>5010487.0440331958</v>
      </c>
      <c r="AC4">
        <v>4840426.1635290449</v>
      </c>
      <c r="AD4">
        <v>4670365.2830248941</v>
      </c>
      <c r="AE4">
        <v>4500304.4025207441</v>
      </c>
      <c r="AF4">
        <v>4330243.5220165933</v>
      </c>
      <c r="AG4">
        <v>4160182.6415124419</v>
      </c>
      <c r="AH4">
        <v>3990121.761008292</v>
      </c>
      <c r="AI4">
        <v>3820060.8805041416</v>
      </c>
      <c r="AJ4">
        <v>3650000</v>
      </c>
    </row>
    <row r="5" spans="1:36" x14ac:dyDescent="0.2">
      <c r="A5" t="s">
        <v>4</v>
      </c>
      <c r="B5" cm="1">
        <f t="array" ref="B5:AJ5">[1]Decarb_trajectories!$B$25:$AJ$25 * 1000000</f>
        <v>8510000</v>
      </c>
      <c r="C5">
        <v>8422316.5786215812</v>
      </c>
      <c r="D5">
        <v>8334633.1572431624</v>
      </c>
      <c r="E5">
        <v>8246949.7358647445</v>
      </c>
      <c r="F5">
        <v>8159266.3144863257</v>
      </c>
      <c r="G5">
        <v>8071582.8931079106</v>
      </c>
      <c r="H5">
        <v>8071582.8931079106</v>
      </c>
      <c r="I5">
        <v>8071582.8931079106</v>
      </c>
      <c r="J5">
        <v>8071582.8931079106</v>
      </c>
      <c r="K5">
        <v>7901522.0126037598</v>
      </c>
      <c r="L5">
        <v>7731461.1320996089</v>
      </c>
      <c r="M5">
        <v>7561400.251595458</v>
      </c>
      <c r="N5">
        <v>7391339.3710913071</v>
      </c>
      <c r="O5">
        <v>7221278.4905871563</v>
      </c>
      <c r="P5">
        <v>7051217.6100830054</v>
      </c>
      <c r="Q5">
        <v>6881156.7295788545</v>
      </c>
      <c r="R5">
        <v>6711095.8490747046</v>
      </c>
      <c r="S5">
        <v>6541034.9685705537</v>
      </c>
      <c r="T5">
        <v>6370974.0880664028</v>
      </c>
      <c r="U5">
        <v>6200913.2075622519</v>
      </c>
      <c r="V5">
        <v>6030852.3270581011</v>
      </c>
      <c r="W5">
        <v>5860791.4465539502</v>
      </c>
      <c r="X5">
        <v>5690730.5660497993</v>
      </c>
      <c r="Y5">
        <v>5520669.6855456484</v>
      </c>
      <c r="Z5">
        <v>5350608.8050414976</v>
      </c>
      <c r="AA5">
        <v>5180547.9245373467</v>
      </c>
      <c r="AB5">
        <v>5010487.0440331958</v>
      </c>
      <c r="AC5">
        <v>4840426.1635290449</v>
      </c>
      <c r="AD5">
        <v>4670365.2830248941</v>
      </c>
      <c r="AE5">
        <v>4500304.4025207441</v>
      </c>
      <c r="AF5">
        <v>4330243.5220165933</v>
      </c>
      <c r="AG5">
        <v>4160182.6415124419</v>
      </c>
      <c r="AH5">
        <v>3990121.761008292</v>
      </c>
      <c r="AI5">
        <v>3820060.8805041416</v>
      </c>
      <c r="AJ5">
        <v>3650000</v>
      </c>
    </row>
    <row r="6" spans="1:36" x14ac:dyDescent="0.2">
      <c r="A6" t="s">
        <v>5</v>
      </c>
      <c r="B6" cm="1">
        <f t="array" ref="B6:AJ6">[1]Decarb_trajectories!$B$25:$AJ$25 * 1000000</f>
        <v>8510000</v>
      </c>
      <c r="C6">
        <v>8422316.5786215812</v>
      </c>
      <c r="D6">
        <v>8334633.1572431624</v>
      </c>
      <c r="E6">
        <v>8246949.7358647445</v>
      </c>
      <c r="F6">
        <v>8159266.3144863257</v>
      </c>
      <c r="G6">
        <v>8071582.8931079106</v>
      </c>
      <c r="H6">
        <v>8071582.8931079106</v>
      </c>
      <c r="I6">
        <v>8071582.8931079106</v>
      </c>
      <c r="J6">
        <v>8071582.8931079106</v>
      </c>
      <c r="K6">
        <v>7901522.0126037598</v>
      </c>
      <c r="L6">
        <v>7731461.1320996089</v>
      </c>
      <c r="M6">
        <v>7561400.251595458</v>
      </c>
      <c r="N6">
        <v>7391339.3710913071</v>
      </c>
      <c r="O6">
        <v>7221278.4905871563</v>
      </c>
      <c r="P6">
        <v>7051217.6100830054</v>
      </c>
      <c r="Q6">
        <v>6881156.7295788545</v>
      </c>
      <c r="R6">
        <v>6711095.8490747046</v>
      </c>
      <c r="S6">
        <v>6541034.9685705537</v>
      </c>
      <c r="T6">
        <v>6370974.0880664028</v>
      </c>
      <c r="U6">
        <v>6200913.2075622519</v>
      </c>
      <c r="V6">
        <v>6030852.3270581011</v>
      </c>
      <c r="W6">
        <v>5860791.4465539502</v>
      </c>
      <c r="X6">
        <v>5690730.5660497993</v>
      </c>
      <c r="Y6">
        <v>5520669.6855456484</v>
      </c>
      <c r="Z6">
        <v>5350608.8050414976</v>
      </c>
      <c r="AA6">
        <v>5180547.9245373467</v>
      </c>
      <c r="AB6">
        <v>5010487.0440331958</v>
      </c>
      <c r="AC6">
        <v>4840426.1635290449</v>
      </c>
      <c r="AD6">
        <v>4670365.2830248941</v>
      </c>
      <c r="AE6">
        <v>4500304.4025207441</v>
      </c>
      <c r="AF6">
        <v>4330243.5220165933</v>
      </c>
      <c r="AG6">
        <v>4160182.6415124419</v>
      </c>
      <c r="AH6">
        <v>3990121.761008292</v>
      </c>
      <c r="AI6">
        <v>3820060.8805041416</v>
      </c>
      <c r="AJ6">
        <v>3650000</v>
      </c>
    </row>
    <row r="7" spans="1:36" x14ac:dyDescent="0.2">
      <c r="A7" t="s">
        <v>6</v>
      </c>
      <c r="B7" cm="1">
        <f t="array" ref="B7:AJ7">[1]Decarb_trajectories!$B$25:$AJ$25 * 1000000</f>
        <v>8510000</v>
      </c>
      <c r="C7">
        <v>8422316.5786215812</v>
      </c>
      <c r="D7">
        <v>8334633.1572431624</v>
      </c>
      <c r="E7">
        <v>8246949.7358647445</v>
      </c>
      <c r="F7">
        <v>8159266.3144863257</v>
      </c>
      <c r="G7">
        <v>8071582.8931079106</v>
      </c>
      <c r="H7">
        <v>8071582.8931079106</v>
      </c>
      <c r="I7">
        <v>8071582.8931079106</v>
      </c>
      <c r="J7">
        <v>8071582.8931079106</v>
      </c>
      <c r="K7">
        <v>7901522.0126037598</v>
      </c>
      <c r="L7">
        <v>7731461.1320996089</v>
      </c>
      <c r="M7">
        <v>7561400.251595458</v>
      </c>
      <c r="N7">
        <v>7391339.3710913071</v>
      </c>
      <c r="O7">
        <v>7221278.4905871563</v>
      </c>
      <c r="P7">
        <v>7051217.6100830054</v>
      </c>
      <c r="Q7">
        <v>6881156.7295788545</v>
      </c>
      <c r="R7">
        <v>6711095.8490747046</v>
      </c>
      <c r="S7">
        <v>6541034.9685705537</v>
      </c>
      <c r="T7">
        <v>6370974.0880664028</v>
      </c>
      <c r="U7">
        <v>6200913.2075622519</v>
      </c>
      <c r="V7">
        <v>6030852.3270581011</v>
      </c>
      <c r="W7">
        <v>5860791.4465539502</v>
      </c>
      <c r="X7">
        <v>5690730.5660497993</v>
      </c>
      <c r="Y7">
        <v>5520669.6855456484</v>
      </c>
      <c r="Z7">
        <v>5350608.8050414976</v>
      </c>
      <c r="AA7">
        <v>5180547.9245373467</v>
      </c>
      <c r="AB7">
        <v>5010487.0440331958</v>
      </c>
      <c r="AC7">
        <v>4840426.1635290449</v>
      </c>
      <c r="AD7">
        <v>4670365.2830248941</v>
      </c>
      <c r="AE7">
        <v>4500304.4025207441</v>
      </c>
      <c r="AF7">
        <v>4330243.5220165933</v>
      </c>
      <c r="AG7">
        <v>4160182.6415124419</v>
      </c>
      <c r="AH7">
        <v>3990121.761008292</v>
      </c>
      <c r="AI7">
        <v>3820060.8805041416</v>
      </c>
      <c r="AJ7">
        <v>3650000</v>
      </c>
    </row>
    <row r="8" spans="1:36" x14ac:dyDescent="0.2">
      <c r="A8" t="s">
        <v>7</v>
      </c>
      <c r="B8" cm="1">
        <f t="array" ref="B8:AJ8">[1]Decarb_trajectories!$B$25:$AJ$25 * 1000000</f>
        <v>8510000</v>
      </c>
      <c r="C8">
        <v>8422316.5786215812</v>
      </c>
      <c r="D8">
        <v>8334633.1572431624</v>
      </c>
      <c r="E8">
        <v>8246949.7358647445</v>
      </c>
      <c r="F8">
        <v>8159266.3144863257</v>
      </c>
      <c r="G8">
        <v>8071582.8931079106</v>
      </c>
      <c r="H8">
        <v>8071582.8931079106</v>
      </c>
      <c r="I8">
        <v>8071582.8931079106</v>
      </c>
      <c r="J8">
        <v>8071582.8931079106</v>
      </c>
      <c r="K8">
        <v>7901522.0126037598</v>
      </c>
      <c r="L8">
        <v>7731461.1320996089</v>
      </c>
      <c r="M8">
        <v>7561400.251595458</v>
      </c>
      <c r="N8">
        <v>7391339.3710913071</v>
      </c>
      <c r="O8">
        <v>7221278.4905871563</v>
      </c>
      <c r="P8">
        <v>7051217.6100830054</v>
      </c>
      <c r="Q8">
        <v>6881156.7295788545</v>
      </c>
      <c r="R8">
        <v>6711095.8490747046</v>
      </c>
      <c r="S8">
        <v>6541034.9685705537</v>
      </c>
      <c r="T8">
        <v>6370974.0880664028</v>
      </c>
      <c r="U8">
        <v>6200913.2075622519</v>
      </c>
      <c r="V8">
        <v>6030852.3270581011</v>
      </c>
      <c r="W8">
        <v>5860791.4465539502</v>
      </c>
      <c r="X8">
        <v>5690730.5660497993</v>
      </c>
      <c r="Y8">
        <v>5520669.6855456484</v>
      </c>
      <c r="Z8">
        <v>5350608.8050414976</v>
      </c>
      <c r="AA8">
        <v>5180547.9245373467</v>
      </c>
      <c r="AB8">
        <v>5010487.0440331958</v>
      </c>
      <c r="AC8">
        <v>4840426.1635290449</v>
      </c>
      <c r="AD8">
        <v>4670365.2830248941</v>
      </c>
      <c r="AE8">
        <v>4500304.4025207441</v>
      </c>
      <c r="AF8">
        <v>4330243.5220165933</v>
      </c>
      <c r="AG8">
        <v>4160182.6415124419</v>
      </c>
      <c r="AH8">
        <v>3990121.761008292</v>
      </c>
      <c r="AI8">
        <v>3820060.8805041416</v>
      </c>
      <c r="AJ8">
        <v>3650000</v>
      </c>
    </row>
    <row r="9" spans="1:36" x14ac:dyDescent="0.2">
      <c r="A9" t="s">
        <v>8</v>
      </c>
      <c r="B9" cm="1">
        <f t="array" ref="B9:AJ9">[1]Decarb_trajectories!$B$27:$AJ$27 * 1000000</f>
        <v>43692.982456140344</v>
      </c>
      <c r="C9">
        <v>43692.982456140344</v>
      </c>
      <c r="D9">
        <v>43692.982456140344</v>
      </c>
      <c r="E9">
        <v>43692.982456140344</v>
      </c>
      <c r="F9">
        <v>43692.982456140344</v>
      </c>
      <c r="G9">
        <v>43692.982456140344</v>
      </c>
      <c r="H9">
        <v>43692.982456140344</v>
      </c>
      <c r="I9">
        <v>43692.982456140344</v>
      </c>
      <c r="J9">
        <v>43692.982456140344</v>
      </c>
      <c r="K9">
        <v>43157.894736842107</v>
      </c>
      <c r="L9">
        <v>43157.894736842107</v>
      </c>
      <c r="M9">
        <v>43157.894736842107</v>
      </c>
      <c r="N9">
        <v>43157.894736842107</v>
      </c>
      <c r="O9">
        <v>43157.894736842107</v>
      </c>
      <c r="P9">
        <v>43157.894736842107</v>
      </c>
      <c r="Q9">
        <v>43157.894736842107</v>
      </c>
      <c r="R9">
        <v>43157.894736842107</v>
      </c>
      <c r="S9">
        <v>43157.894736842107</v>
      </c>
      <c r="T9">
        <v>43157.894736842107</v>
      </c>
      <c r="U9">
        <v>43157.894736842107</v>
      </c>
      <c r="V9">
        <v>43157.894736842107</v>
      </c>
      <c r="W9">
        <v>43157.894736842107</v>
      </c>
      <c r="X9">
        <v>43157.894736842107</v>
      </c>
      <c r="Y9">
        <v>43157.894736842107</v>
      </c>
      <c r="Z9">
        <v>43157.894736842107</v>
      </c>
      <c r="AA9">
        <v>43157.894736842107</v>
      </c>
      <c r="AB9">
        <v>43157.894736842107</v>
      </c>
      <c r="AC9">
        <v>43157.894736842107</v>
      </c>
      <c r="AD9">
        <v>43157.894736842107</v>
      </c>
      <c r="AE9">
        <v>43157.894736842107</v>
      </c>
      <c r="AF9">
        <v>43157.894736842107</v>
      </c>
      <c r="AG9">
        <v>43157.894736842107</v>
      </c>
      <c r="AH9">
        <v>43157.894736842107</v>
      </c>
      <c r="AI9">
        <v>43157.894736842107</v>
      </c>
      <c r="AJ9">
        <v>43157.894736842107</v>
      </c>
    </row>
    <row r="10" spans="1:36" x14ac:dyDescent="0.2">
      <c r="A10" t="s">
        <v>9</v>
      </c>
      <c r="B10" cm="1">
        <f t="array" ref="B10:AJ10">[1]Decarb_trajectories!$B$26:$AJ$26 * 1000000</f>
        <v>513000</v>
      </c>
      <c r="C10">
        <v>513000</v>
      </c>
      <c r="D10">
        <v>513000</v>
      </c>
      <c r="E10">
        <v>513000</v>
      </c>
      <c r="F10">
        <v>513000</v>
      </c>
      <c r="G10">
        <v>513000</v>
      </c>
      <c r="H10">
        <v>513000</v>
      </c>
      <c r="I10">
        <v>513000</v>
      </c>
      <c r="J10">
        <v>513000</v>
      </c>
      <c r="K10">
        <v>513000</v>
      </c>
      <c r="L10">
        <v>513000</v>
      </c>
      <c r="M10">
        <v>513000</v>
      </c>
      <c r="N10">
        <v>513000</v>
      </c>
      <c r="O10">
        <v>513000</v>
      </c>
      <c r="P10">
        <v>513000</v>
      </c>
      <c r="Q10">
        <v>513000</v>
      </c>
      <c r="R10">
        <v>513000</v>
      </c>
      <c r="S10">
        <v>513000</v>
      </c>
      <c r="T10">
        <v>513000</v>
      </c>
      <c r="U10">
        <v>513000</v>
      </c>
      <c r="V10">
        <v>513000</v>
      </c>
      <c r="W10">
        <v>513000</v>
      </c>
      <c r="X10">
        <v>513000</v>
      </c>
      <c r="Y10">
        <v>513000</v>
      </c>
      <c r="Z10">
        <v>513000</v>
      </c>
      <c r="AA10">
        <v>513000</v>
      </c>
      <c r="AB10">
        <v>513000</v>
      </c>
      <c r="AC10">
        <v>513000</v>
      </c>
      <c r="AD10">
        <v>513000</v>
      </c>
      <c r="AE10">
        <v>513000</v>
      </c>
      <c r="AF10">
        <v>513000</v>
      </c>
      <c r="AG10">
        <v>513000</v>
      </c>
      <c r="AH10">
        <v>513000</v>
      </c>
      <c r="AI10">
        <v>513000</v>
      </c>
      <c r="AJ10">
        <v>513000</v>
      </c>
    </row>
    <row r="11" spans="1:36" x14ac:dyDescent="0.2">
      <c r="A11" t="s">
        <v>10</v>
      </c>
      <c r="B11" cm="1">
        <f t="array" ref="B11:AJ11">[1]Decarb_trajectories!$B$26:$AJ$26 * 1000000</f>
        <v>513000</v>
      </c>
      <c r="C11">
        <v>513000</v>
      </c>
      <c r="D11">
        <v>513000</v>
      </c>
      <c r="E11">
        <v>513000</v>
      </c>
      <c r="F11">
        <v>513000</v>
      </c>
      <c r="G11">
        <v>513000</v>
      </c>
      <c r="H11">
        <v>513000</v>
      </c>
      <c r="I11">
        <v>513000</v>
      </c>
      <c r="J11">
        <v>513000</v>
      </c>
      <c r="K11">
        <v>513000</v>
      </c>
      <c r="L11">
        <v>513000</v>
      </c>
      <c r="M11">
        <v>513000</v>
      </c>
      <c r="N11">
        <v>513000</v>
      </c>
      <c r="O11">
        <v>513000</v>
      </c>
      <c r="P11">
        <v>513000</v>
      </c>
      <c r="Q11">
        <v>513000</v>
      </c>
      <c r="R11">
        <v>513000</v>
      </c>
      <c r="S11">
        <v>513000</v>
      </c>
      <c r="T11">
        <v>513000</v>
      </c>
      <c r="U11">
        <v>513000</v>
      </c>
      <c r="V11">
        <v>513000</v>
      </c>
      <c r="W11">
        <v>513000</v>
      </c>
      <c r="X11">
        <v>513000</v>
      </c>
      <c r="Y11">
        <v>513000</v>
      </c>
      <c r="Z11">
        <v>513000</v>
      </c>
      <c r="AA11">
        <v>513000</v>
      </c>
      <c r="AB11">
        <v>513000</v>
      </c>
      <c r="AC11">
        <v>513000</v>
      </c>
      <c r="AD11">
        <v>513000</v>
      </c>
      <c r="AE11">
        <v>513000</v>
      </c>
      <c r="AF11">
        <v>513000</v>
      </c>
      <c r="AG11">
        <v>513000</v>
      </c>
      <c r="AH11">
        <v>513000</v>
      </c>
      <c r="AI11">
        <v>513000</v>
      </c>
      <c r="AJ11">
        <v>513000</v>
      </c>
    </row>
    <row r="12" spans="1:36" x14ac:dyDescent="0.2">
      <c r="A12" t="s">
        <v>11</v>
      </c>
      <c r="B12">
        <v>300</v>
      </c>
      <c r="C12">
        <v>300</v>
      </c>
      <c r="D12">
        <v>300</v>
      </c>
      <c r="E12">
        <v>300</v>
      </c>
      <c r="F12">
        <v>300</v>
      </c>
      <c r="G12">
        <v>300</v>
      </c>
      <c r="H12" cm="1">
        <f t="array" ref="H12:AJ12">'[2]EF results only'!$B$26:$AD$26</f>
        <v>300</v>
      </c>
      <c r="I12">
        <v>287.23959137288642</v>
      </c>
      <c r="J12">
        <v>274.47918274577279</v>
      </c>
      <c r="K12">
        <v>261.71877411865927</v>
      </c>
      <c r="L12">
        <v>240.40234130434609</v>
      </c>
      <c r="M12">
        <v>219.08590849003295</v>
      </c>
      <c r="N12">
        <v>197.76947567571978</v>
      </c>
      <c r="O12">
        <v>176.45304286140669</v>
      </c>
      <c r="P12">
        <v>155.13661004709354</v>
      </c>
      <c r="Q12">
        <v>151.56393178510532</v>
      </c>
      <c r="R12">
        <v>147.99125352311714</v>
      </c>
      <c r="S12">
        <v>144.41857526112895</v>
      </c>
      <c r="T12">
        <v>140.84589699914076</v>
      </c>
      <c r="U12">
        <v>137.27321873715258</v>
      </c>
      <c r="V12">
        <v>136.10205463857403</v>
      </c>
      <c r="W12">
        <v>134.93089053999549</v>
      </c>
      <c r="X12">
        <v>133.75972644141697</v>
      </c>
      <c r="Y12">
        <v>132.58856234283843</v>
      </c>
      <c r="Z12">
        <v>131.41739824425989</v>
      </c>
      <c r="AA12">
        <v>130.22807662956356</v>
      </c>
      <c r="AB12">
        <v>129.03875501486723</v>
      </c>
      <c r="AC12">
        <v>127.84943340017092</v>
      </c>
      <c r="AD12">
        <v>126.66011178547458</v>
      </c>
      <c r="AE12">
        <v>125.47079017077827</v>
      </c>
      <c r="AF12">
        <v>123.65099250394809</v>
      </c>
      <c r="AG12">
        <v>121.83119483711792</v>
      </c>
      <c r="AH12">
        <v>120.01139717028776</v>
      </c>
      <c r="AI12">
        <v>118.19159950345758</v>
      </c>
      <c r="AJ12">
        <v>116.37180183662741</v>
      </c>
    </row>
    <row r="13" spans="1:36" x14ac:dyDescent="0.2">
      <c r="A13" t="s">
        <v>12</v>
      </c>
      <c r="B13" cm="1">
        <f t="array" ref="B13:AJ13">[1]Decarb_trajectories!$B29:$AJ29 * 1000000</f>
        <v>623000</v>
      </c>
      <c r="C13">
        <v>623000</v>
      </c>
      <c r="D13">
        <v>623000</v>
      </c>
      <c r="E13">
        <v>623000</v>
      </c>
      <c r="F13">
        <v>623000</v>
      </c>
      <c r="G13">
        <v>623000</v>
      </c>
      <c r="H13">
        <v>623000</v>
      </c>
      <c r="I13">
        <v>623000</v>
      </c>
      <c r="J13">
        <v>623000</v>
      </c>
      <c r="K13">
        <v>622727.27272727282</v>
      </c>
      <c r="L13">
        <v>602945.75020983384</v>
      </c>
      <c r="M13">
        <v>583164.2276923951</v>
      </c>
      <c r="N13">
        <v>563382.70517495647</v>
      </c>
      <c r="O13">
        <v>543601.18265751773</v>
      </c>
      <c r="P13">
        <v>523825.99428113474</v>
      </c>
      <c r="Q13">
        <v>520506.90436786617</v>
      </c>
      <c r="R13">
        <v>517194.14859565347</v>
      </c>
      <c r="S13">
        <v>513875.05868238478</v>
      </c>
      <c r="T13">
        <v>510562.30291017203</v>
      </c>
      <c r="U13">
        <v>507249.54713795922</v>
      </c>
      <c r="V13">
        <v>506160.07487635204</v>
      </c>
      <c r="W13">
        <v>505070.6026147448</v>
      </c>
      <c r="X13">
        <v>503987.46449419338</v>
      </c>
      <c r="Y13">
        <v>502897.99223258602</v>
      </c>
      <c r="Z13">
        <v>501814.85411203472</v>
      </c>
      <c r="AA13">
        <v>500706.37942725985</v>
      </c>
      <c r="AB13">
        <v>499604.23888354085</v>
      </c>
      <c r="AC13">
        <v>498502.09833982197</v>
      </c>
      <c r="AD13">
        <v>497399.95779610297</v>
      </c>
      <c r="AE13">
        <v>496297.81725238403</v>
      </c>
      <c r="AF13">
        <v>494606.60159047035</v>
      </c>
      <c r="AG13">
        <v>492915.38592855685</v>
      </c>
      <c r="AH13">
        <v>491230.50440769905</v>
      </c>
      <c r="AI13">
        <v>489539.28874578542</v>
      </c>
      <c r="AJ13">
        <v>487854.4072249278</v>
      </c>
    </row>
    <row r="14" spans="1:36" x14ac:dyDescent="0.2">
      <c r="A14" t="s">
        <v>14</v>
      </c>
      <c r="B14" cm="1">
        <f t="array" ref="B14:AJ14">[1]Decarb_trajectories!$B30:$AJ30 * 1000000</f>
        <v>68167.106507991833</v>
      </c>
      <c r="C14">
        <v>68167.106507991833</v>
      </c>
      <c r="D14">
        <v>68167.106507991833</v>
      </c>
      <c r="E14">
        <v>68167.106507991833</v>
      </c>
      <c r="F14">
        <v>68167.106507991833</v>
      </c>
      <c r="G14">
        <v>68167.106507991833</v>
      </c>
      <c r="H14">
        <v>68167.106507991833</v>
      </c>
      <c r="I14">
        <v>68167.106507991833</v>
      </c>
      <c r="J14">
        <v>68167.106507991833</v>
      </c>
      <c r="K14">
        <v>68167.106507991833</v>
      </c>
      <c r="L14">
        <v>62614.817278831681</v>
      </c>
      <c r="M14">
        <v>57062.528049671528</v>
      </c>
      <c r="N14">
        <v>51510.238820511382</v>
      </c>
      <c r="O14">
        <v>45957.949591351229</v>
      </c>
      <c r="P14">
        <v>40407.438232581459</v>
      </c>
      <c r="Q14">
        <v>39475.834148021779</v>
      </c>
      <c r="R14">
        <v>38546.007933852459</v>
      </c>
      <c r="S14">
        <v>37614.403849292772</v>
      </c>
      <c r="T14">
        <v>36684.577635123453</v>
      </c>
      <c r="U14">
        <v>35754.751420954148</v>
      </c>
      <c r="V14">
        <v>35448.957713808595</v>
      </c>
      <c r="W14">
        <v>35143.164006663043</v>
      </c>
      <c r="X14">
        <v>34839.148169907879</v>
      </c>
      <c r="Y14">
        <v>34533.354462762334</v>
      </c>
      <c r="Z14">
        <v>34229.338626007171</v>
      </c>
      <c r="AA14">
        <v>33918.211307690479</v>
      </c>
      <c r="AB14">
        <v>33608.861859764169</v>
      </c>
      <c r="AC14">
        <v>33299.512411837859</v>
      </c>
      <c r="AD14">
        <v>32990.162963911542</v>
      </c>
      <c r="AE14">
        <v>32680.813515985235</v>
      </c>
      <c r="AF14">
        <v>32206.12212175348</v>
      </c>
      <c r="AG14">
        <v>31731.430727521729</v>
      </c>
      <c r="AH14">
        <v>31258.517203680363</v>
      </c>
      <c r="AI14">
        <v>30783.825809448608</v>
      </c>
      <c r="AJ14">
        <v>30310.912285607239</v>
      </c>
    </row>
    <row r="15" spans="1:36" x14ac:dyDescent="0.2">
      <c r="A15" t="s">
        <v>13</v>
      </c>
      <c r="B15" cm="1">
        <f t="array" ref="B15:AJ15">[1]Decarb_trajectories!$B31:$AJ31 * 1000000</f>
        <v>251000</v>
      </c>
      <c r="C15">
        <v>251000</v>
      </c>
      <c r="D15">
        <v>251000</v>
      </c>
      <c r="E15">
        <v>251000</v>
      </c>
      <c r="F15">
        <v>251000</v>
      </c>
      <c r="G15">
        <v>251000</v>
      </c>
      <c r="H15">
        <v>251000</v>
      </c>
      <c r="I15">
        <v>251000</v>
      </c>
      <c r="J15">
        <v>251000</v>
      </c>
      <c r="K15">
        <v>251256.28140703516</v>
      </c>
      <c r="L15">
        <v>239386.51580368067</v>
      </c>
      <c r="M15">
        <v>227516.75020032612</v>
      </c>
      <c r="N15">
        <v>215646.98459697163</v>
      </c>
      <c r="O15">
        <v>203777.21899361711</v>
      </c>
      <c r="P15">
        <v>191911.25414774043</v>
      </c>
      <c r="Q15">
        <v>189919.65722934218</v>
      </c>
      <c r="R15">
        <v>187931.86106842177</v>
      </c>
      <c r="S15">
        <v>185940.26415002352</v>
      </c>
      <c r="T15">
        <v>183952.46798910308</v>
      </c>
      <c r="U15">
        <v>181964.67182818271</v>
      </c>
      <c r="V15">
        <v>181310.94154199091</v>
      </c>
      <c r="W15">
        <v>180657.21125579908</v>
      </c>
      <c r="X15">
        <v>180007.28172708515</v>
      </c>
      <c r="Y15">
        <v>179353.55144089335</v>
      </c>
      <c r="Z15">
        <v>178703.62191217946</v>
      </c>
      <c r="AA15">
        <v>178038.48935355406</v>
      </c>
      <c r="AB15">
        <v>177377.15755240654</v>
      </c>
      <c r="AC15">
        <v>176715.82575125905</v>
      </c>
      <c r="AD15">
        <v>176054.49395011153</v>
      </c>
      <c r="AE15">
        <v>175393.16214896398</v>
      </c>
      <c r="AF15">
        <v>174378.35990237558</v>
      </c>
      <c r="AG15">
        <v>173363.55765578715</v>
      </c>
      <c r="AH15">
        <v>172352.55616667657</v>
      </c>
      <c r="AI15">
        <v>171337.75392008814</v>
      </c>
      <c r="AJ15">
        <v>170326.75243097759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Tsai</dc:creator>
  <cp:lastModifiedBy>Tsai, Alissa</cp:lastModifiedBy>
  <dcterms:created xsi:type="dcterms:W3CDTF">2025-02-03T19:08:08Z</dcterms:created>
  <dcterms:modified xsi:type="dcterms:W3CDTF">2025-11-17T18:47:59Z</dcterms:modified>
</cp:coreProperties>
</file>