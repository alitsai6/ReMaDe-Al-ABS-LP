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issatsai/Documents/Winter 2026 University of Michigan/Optimization for Cross Al Life Cycle/"/>
    </mc:Choice>
  </mc:AlternateContent>
  <xr:revisionPtr revIDLastSave="0" documentId="13_ncr:1_{FD5B9A52-6DF0-FB45-AB52-3C5C35EA8C60}" xr6:coauthVersionLast="47" xr6:coauthVersionMax="47" xr10:uidLastSave="{00000000-0000-0000-0000-000000000000}"/>
  <bookViews>
    <workbookView xWindow="-20" yWindow="13820" windowWidth="25600" windowHeight="13200" xr2:uid="{586CC942-4CBA-0F45-8922-E4EA755B34D9}"/>
  </bookViews>
  <sheets>
    <sheet name="Sheet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 a="1"/>
  <c r="B8" i="1" s="1"/>
  <c r="B7" i="1" a="1"/>
  <c r="B7" i="1" s="1"/>
  <c r="B4" i="1" a="1"/>
  <c r="B4" i="1" s="1"/>
  <c r="B6" i="1" a="1"/>
  <c r="B6" i="1" s="1"/>
  <c r="B5" i="1" a="1"/>
  <c r="B5" i="1" s="1"/>
  <c r="B2" i="1" a="1"/>
  <c r="B2" i="1" s="1"/>
  <c r="B3" i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Alissa Tsai</author>
  </authors>
  <commentList>
    <comment ref="A1" authorId="0" shapeId="0" xr:uid="{15FC42FD-A531-4E40-9E38-95495C2FFF6F}">
      <text>
        <r>
          <rPr>
            <b/>
            <sz val="10"/>
            <color rgb="FF000000"/>
            <rFont val="Tahoma"/>
            <family val="2"/>
          </rPr>
          <t>Alissa Tsai: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Data from "Automotive aluminum DMFA revised 01102024"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<sst xmlns="http://schemas.openxmlformats.org/spreadsheetml/2006/main" count="8" uniqueCount="8">
  <si>
    <t>Alloy</t>
  </si>
  <si>
    <t>Auto Sheet 5xxx</t>
  </si>
  <si>
    <t>Auto Sheet 6xxx 6005C</t>
  </si>
  <si>
    <t>Auto Sheet 6xxx 6016</t>
  </si>
  <si>
    <t>Auto Sheet Ford Low Mg</t>
  </si>
  <si>
    <t>Auto Sheet Ford High Mg</t>
  </si>
  <si>
    <t>Auto Sheet Ford Low Cu</t>
  </si>
  <si>
    <t>Auto Sheet Ford High Cu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</si>
</sst>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0_);_(* \(#,##0.000\);_(* &quot;-&quot;??_);_(@_)"/>
  </numFmts>
  <fonts count="3" x14ac:knownFonts="1">
    <font>
      <sz val="12"/>
      <color theme="1"/>
      <name val="Aptos Narrow"/>
      <family val="2"/>
      <scheme val="minor"/>
    </font>
    <font>
      <b/>
      <sz val="10"/>
      <color rgb="FF000000"/>
      <name val="Tahoma"/>
      <family val="2"/>
    </font>
    <font>
      <sz val="10"/>
      <color rgb="FF00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lissatsai/Documents/Winter%202026%20University%20of%20Michigan/Optimization%20for%20Cross%20Al%20Life%20Cycle/03.26%20Auto%20DMFA.xlsx" TargetMode="External"/><Relationship Id="rId1" Type="http://schemas.openxmlformats.org/officeDocument/2006/relationships/externalLinkPath" Target="03.26%20Auto%20DM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ansport. LDVs (Liao)"/>
      <sheetName val="Transport. LDVs (Greene)"/>
    </sheetNames>
    <sheetDataSet>
      <sheetData sheetId="0">
        <row r="1333">
          <cell r="AZ1333">
            <v>38.791233593740863</v>
          </cell>
          <cell r="BA1333">
            <v>56.419505053317344</v>
          </cell>
          <cell r="BB1333">
            <v>46.884802655225087</v>
          </cell>
          <cell r="BC1333">
            <v>48.511368811112348</v>
          </cell>
          <cell r="BD1333">
            <v>59.214510311447505</v>
          </cell>
          <cell r="BE1333">
            <v>35.592188759147845</v>
          </cell>
          <cell r="BF1333">
            <v>36.490702410536642</v>
          </cell>
          <cell r="BG1333">
            <v>37.389027061925447</v>
          </cell>
          <cell r="BH1333">
            <v>38.287471813314255</v>
          </cell>
          <cell r="BI1333">
            <v>39.185985464703059</v>
          </cell>
          <cell r="BJ1333">
            <v>40.08443021609186</v>
          </cell>
          <cell r="BK1333">
            <v>41.084927151948804</v>
          </cell>
          <cell r="BL1333">
            <v>42.11047342537131</v>
          </cell>
          <cell r="BM1333">
            <v>43.16160953341317</v>
          </cell>
          <cell r="BN1333">
            <v>44.238911667850502</v>
          </cell>
          <cell r="BO1333">
            <v>45.343096885479426</v>
          </cell>
          <cell r="BP1333">
            <v>46.474781899632987</v>
          </cell>
          <cell r="BQ1333">
            <v>47.634775393434865</v>
          </cell>
          <cell r="BR1333">
            <v>48.82361815531975</v>
          </cell>
          <cell r="BS1333">
            <v>50.042147237363238</v>
          </cell>
          <cell r="BT1333">
            <v>51.291036136977326</v>
          </cell>
          <cell r="BU1333">
            <v>52.571103002541591</v>
          </cell>
          <cell r="BV1333">
            <v>53.883004463553092</v>
          </cell>
          <cell r="BW1333">
            <v>55.227697485893145</v>
          </cell>
          <cell r="BX1333">
            <v>56.605946152823392</v>
          </cell>
          <cell r="BY1333">
            <v>58.018490272338099</v>
          </cell>
          <cell r="BZ1333">
            <v>59.466308211516008</v>
          </cell>
          <cell r="CA1333">
            <v>60.950100358529198</v>
          </cell>
          <cell r="CB1333">
            <v>62.470977412983913</v>
          </cell>
          <cell r="CC1333">
            <v>64.029776405283798</v>
          </cell>
          <cell r="CD1333">
            <v>65.627402645723308</v>
          </cell>
          <cell r="CE1333">
            <v>67.264901804036242</v>
          </cell>
          <cell r="CF1333">
            <v>68.943169820141662</v>
          </cell>
          <cell r="CG1333">
            <v>70.663346146848028</v>
          </cell>
          <cell r="CH1333">
            <v>72.426354325294881</v>
          </cell>
          <cell r="CI1333">
            <v>74.233281393929872</v>
          </cell>
        </row>
        <row r="1334">
          <cell r="AZ1334">
            <v>16.469365499999999</v>
          </cell>
          <cell r="BA1334">
            <v>18.357160499999999</v>
          </cell>
          <cell r="BB1334">
            <v>25.4324385</v>
          </cell>
          <cell r="BC1334">
            <v>31.674395000000001</v>
          </cell>
          <cell r="BD1334">
            <v>32.632829399999999</v>
          </cell>
          <cell r="BE1334">
            <v>33.429067100000005</v>
          </cell>
          <cell r="BF1334">
            <v>34.225263000000005</v>
          </cell>
          <cell r="BG1334">
            <v>35.021574000000001</v>
          </cell>
          <cell r="BH1334">
            <v>35.8178117</v>
          </cell>
          <cell r="BI1334">
            <v>36.614007600000001</v>
          </cell>
          <cell r="BJ1334">
            <v>37.4102453</v>
          </cell>
          <cell r="BK1334">
            <v>38.308141400000004</v>
          </cell>
          <cell r="BL1334">
            <v>39.227527899999998</v>
          </cell>
          <cell r="BM1334">
            <v>40.168971199999994</v>
          </cell>
          <cell r="BN1334">
            <v>41.133037699999996</v>
          </cell>
          <cell r="BO1334">
            <v>42.120231399999994</v>
          </cell>
          <cell r="BP1334">
            <v>43.131139900000001</v>
          </cell>
          <cell r="BQ1334">
            <v>44.166256299999993</v>
          </cell>
          <cell r="BR1334">
            <v>45.226262699999999</v>
          </cell>
          <cell r="BS1334">
            <v>46.311683699999996</v>
          </cell>
          <cell r="BT1334">
            <v>47.423169899999998</v>
          </cell>
          <cell r="BU1334">
            <v>48.5613089</v>
          </cell>
          <cell r="BV1334">
            <v>49.726814300000001</v>
          </cell>
          <cell r="BW1334">
            <v>50.920242200000004</v>
          </cell>
          <cell r="BX1334">
            <v>52.142295899999993</v>
          </cell>
          <cell r="BY1334">
            <v>53.393719900000001</v>
          </cell>
          <cell r="BZ1334">
            <v>54.675144200000005</v>
          </cell>
          <cell r="CA1334">
            <v>55.9873975</v>
          </cell>
          <cell r="CB1334">
            <v>57.331088600000001</v>
          </cell>
          <cell r="CC1334">
            <v>58.707025599999994</v>
          </cell>
          <cell r="CD1334">
            <v>60.116005700000002</v>
          </cell>
          <cell r="CE1334">
            <v>61.558774000000007</v>
          </cell>
          <cell r="CF1334">
            <v>63.036201599999998</v>
          </cell>
          <cell r="CG1334">
            <v>64.549043900000001</v>
          </cell>
          <cell r="CH1334">
            <v>66.098224099999996</v>
          </cell>
          <cell r="CI1334">
            <v>67.68460300000001</v>
          </cell>
        </row>
        <row r="1335">
          <cell r="AZ1335">
            <v>10.299888900000001</v>
          </cell>
          <cell r="BA1335">
            <v>11.480509899999999</v>
          </cell>
          <cell r="BB1335">
            <v>15.905366299999999</v>
          </cell>
          <cell r="BC1335">
            <v>19.878551000000002</v>
          </cell>
          <cell r="BD1335">
            <v>20.509175999999997</v>
          </cell>
          <cell r="BE1335">
            <v>21.009597899999996</v>
          </cell>
          <cell r="BF1335">
            <v>21.509992700000002</v>
          </cell>
          <cell r="BG1335">
            <v>22.010461399999997</v>
          </cell>
          <cell r="BH1335">
            <v>22.510883299999996</v>
          </cell>
          <cell r="BI1335">
            <v>23.011278099999998</v>
          </cell>
          <cell r="BJ1335">
            <v>23.511700000000001</v>
          </cell>
          <cell r="BK1335">
            <v>24.076013100000001</v>
          </cell>
          <cell r="BL1335">
            <v>24.653831399999998</v>
          </cell>
          <cell r="BM1335">
            <v>25.245511999999998</v>
          </cell>
          <cell r="BN1335">
            <v>25.851411999999996</v>
          </cell>
          <cell r="BO1335">
            <v>26.471846599999999</v>
          </cell>
          <cell r="BP1335">
            <v>27.1071852</v>
          </cell>
          <cell r="BQ1335">
            <v>27.757738100000001</v>
          </cell>
          <cell r="BR1335">
            <v>28.423933800000004</v>
          </cell>
          <cell r="BS1335">
            <v>29.106102299999996</v>
          </cell>
          <cell r="BT1335">
            <v>29.804652399999998</v>
          </cell>
          <cell r="BU1335">
            <v>30.5199535</v>
          </cell>
          <cell r="BV1335">
            <v>31.252453799999998</v>
          </cell>
          <cell r="BW1335">
            <v>32.002502999999997</v>
          </cell>
          <cell r="BX1335">
            <v>32.770541899999998</v>
          </cell>
          <cell r="BY1335">
            <v>33.557040899999997</v>
          </cell>
          <cell r="BZ1335">
            <v>34.362393999999995</v>
          </cell>
          <cell r="CA1335">
            <v>35.187123300000003</v>
          </cell>
          <cell r="CB1335">
            <v>36.031610499999999</v>
          </cell>
          <cell r="CC1335">
            <v>36.8963629</v>
          </cell>
          <cell r="CD1335">
            <v>37.781882899999999</v>
          </cell>
          <cell r="CE1335">
            <v>38.688638399999995</v>
          </cell>
          <cell r="CF1335">
            <v>39.617176099999995</v>
          </cell>
          <cell r="CG1335">
            <v>40.567971299999996</v>
          </cell>
          <cell r="CH1335">
            <v>41.541605199999999</v>
          </cell>
          <cell r="CI1335">
            <v>42.538617100000003</v>
          </cell>
        </row>
        <row r="1336">
          <cell r="AZ1336">
            <v>74.170011983392712</v>
          </cell>
          <cell r="BA1336">
            <v>117.32683696483224</v>
          </cell>
          <cell r="BB1336">
            <v>80.311832421427681</v>
          </cell>
          <cell r="BC1336">
            <v>77.210083409538043</v>
          </cell>
          <cell r="BD1336">
            <v>105.15144103383648</v>
          </cell>
          <cell r="BE1336">
            <v>41.815487812341104</v>
          </cell>
          <cell r="BF1336">
            <v>42.944941148381787</v>
          </cell>
          <cell r="BG1336">
            <v>44.073790484422489</v>
          </cell>
          <cell r="BH1336">
            <v>45.203035720463191</v>
          </cell>
          <cell r="BI1336">
            <v>46.332489056503817</v>
          </cell>
          <cell r="BJ1336">
            <v>47.461734292544492</v>
          </cell>
          <cell r="BK1336">
            <v>48.701911353242167</v>
          </cell>
          <cell r="BL1336">
            <v>49.97461840908926</v>
          </cell>
          <cell r="BM1336">
            <v>51.280450814540075</v>
          </cell>
          <cell r="BN1336">
            <v>52.620097765625474</v>
          </cell>
          <cell r="BO1336">
            <v>53.994593287968314</v>
          </cell>
          <cell r="BP1336">
            <v>55.404653680585795</v>
          </cell>
          <cell r="BQ1336">
            <v>56.851659516837401</v>
          </cell>
          <cell r="BR1336">
            <v>58.33596790391141</v>
          </cell>
          <cell r="BS1336">
            <v>59.858980802278552</v>
          </cell>
          <cell r="BT1336">
            <v>61.421457406574007</v>
          </cell>
          <cell r="BU1336">
            <v>63.024643589405343</v>
          </cell>
          <cell r="BV1336">
            <v>64.669147809621336</v>
          </cell>
          <cell r="BW1336">
            <v>66.356634086612701</v>
          </cell>
          <cell r="BX1336">
            <v>68.087967142255536</v>
          </cell>
          <cell r="BY1336">
            <v>69.864052812144848</v>
          </cell>
          <cell r="BZ1336">
            <v>71.686399327810761</v>
          </cell>
          <cell r="CA1336">
            <v>73.55562307164422</v>
          </cell>
          <cell r="CB1336">
            <v>75.473659606308843</v>
          </cell>
          <cell r="CC1336">
            <v>77.441432080451023</v>
          </cell>
          <cell r="CD1336">
            <v>79.460148812573095</v>
          </cell>
          <cell r="CE1336">
            <v>81.531387854970149</v>
          </cell>
          <cell r="CF1336">
            <v>83.656120839688413</v>
          </cell>
          <cell r="CG1336">
            <v>85.836198608498705</v>
          </cell>
          <cell r="CH1336">
            <v>88.072664628939378</v>
          </cell>
          <cell r="CI1336">
            <v>90.366966698522162</v>
          </cell>
        </row>
        <row r="1337">
          <cell r="AZ1337">
            <v>48.414706199999998</v>
          </cell>
          <cell r="BA1337">
            <v>53.964224199999997</v>
          </cell>
          <cell r="BB1337">
            <v>74.76329539999999</v>
          </cell>
          <cell r="BC1337">
            <v>88.938208000000003</v>
          </cell>
          <cell r="BD1337">
            <v>89.879901000000004</v>
          </cell>
          <cell r="BE1337">
            <v>92.072955199999996</v>
          </cell>
          <cell r="BF1337">
            <v>94.265944099999999</v>
          </cell>
          <cell r="BG1337">
            <v>96.459156199999995</v>
          </cell>
          <cell r="BH1337">
            <v>98.652210399999987</v>
          </cell>
          <cell r="BI1337">
            <v>100.84519929999999</v>
          </cell>
          <cell r="BJ1337">
            <v>103.0382535</v>
          </cell>
          <cell r="BK1337">
            <v>105.51126530000001</v>
          </cell>
          <cell r="BL1337">
            <v>108.0435367</v>
          </cell>
          <cell r="BM1337">
            <v>110.63656</v>
          </cell>
          <cell r="BN1337">
            <v>113.2918275</v>
          </cell>
          <cell r="BO1337">
            <v>116.01082079999999</v>
          </cell>
          <cell r="BP1337">
            <v>118.79515209999998</v>
          </cell>
          <cell r="BQ1337">
            <v>121.6461558</v>
          </cell>
          <cell r="BR1337">
            <v>124.56572189999999</v>
          </cell>
          <cell r="BS1337">
            <v>127.55527739999998</v>
          </cell>
          <cell r="BT1337">
            <v>130.6166197</v>
          </cell>
          <cell r="BU1337">
            <v>133.751361</v>
          </cell>
          <cell r="BV1337">
            <v>136.96148389999999</v>
          </cell>
          <cell r="BW1337">
            <v>140.24850800000002</v>
          </cell>
          <cell r="BX1337">
            <v>143.61444319999998</v>
          </cell>
          <cell r="BY1337">
            <v>147.06119019999997</v>
          </cell>
          <cell r="BZ1337">
            <v>150.59060099999999</v>
          </cell>
          <cell r="CA1337">
            <v>154.20488140000003</v>
          </cell>
          <cell r="CB1337">
            <v>157.90576349999995</v>
          </cell>
          <cell r="CC1337">
            <v>161.69550769999998</v>
          </cell>
          <cell r="CD1337">
            <v>165.57622720000001</v>
          </cell>
          <cell r="CE1337">
            <v>169.54999720000001</v>
          </cell>
          <cell r="CF1337">
            <v>173.6192633</v>
          </cell>
          <cell r="CG1337">
            <v>177.78607339999999</v>
          </cell>
          <cell r="CH1337">
            <v>182.05291109999999</v>
          </cell>
          <cell r="CI1337">
            <v>186.42224929999998</v>
          </cell>
        </row>
        <row r="1338">
          <cell r="AZ1338">
            <v>49.774082399999998</v>
          </cell>
          <cell r="BA1338">
            <v>55.4794184</v>
          </cell>
          <cell r="BB1338">
            <v>76.8624808</v>
          </cell>
          <cell r="BC1338">
            <v>96.921216000000015</v>
          </cell>
          <cell r="BD1338">
            <v>100.35441360000002</v>
          </cell>
          <cell r="BE1338">
            <v>102.8030528</v>
          </cell>
          <cell r="BF1338">
            <v>105.2515492</v>
          </cell>
          <cell r="BG1338">
            <v>107.7004264</v>
          </cell>
          <cell r="BH1338">
            <v>110.1490656</v>
          </cell>
          <cell r="BI1338">
            <v>112.59756200000001</v>
          </cell>
          <cell r="BJ1338">
            <v>115.04620120000001</v>
          </cell>
          <cell r="BK1338">
            <v>117.80747719999999</v>
          </cell>
          <cell r="BL1338">
            <v>120.634822</v>
          </cell>
          <cell r="BM1338">
            <v>123.52999680000001</v>
          </cell>
          <cell r="BN1338">
            <v>126.49476280000002</v>
          </cell>
          <cell r="BO1338">
            <v>129.53064319999999</v>
          </cell>
          <cell r="BP1338">
            <v>132.63944680000003</v>
          </cell>
          <cell r="BQ1338">
            <v>135.82269680000002</v>
          </cell>
          <cell r="BR1338">
            <v>139.08248759999998</v>
          </cell>
          <cell r="BS1338">
            <v>142.42043759999999</v>
          </cell>
          <cell r="BT1338">
            <v>145.83854600000001</v>
          </cell>
          <cell r="BU1338">
            <v>149.33862160000001</v>
          </cell>
          <cell r="BV1338">
            <v>152.922854</v>
          </cell>
          <cell r="BW1338">
            <v>156.5929568</v>
          </cell>
          <cell r="BX1338">
            <v>160.35107199999999</v>
          </cell>
          <cell r="BY1338">
            <v>164.199532</v>
          </cell>
          <cell r="BZ1338">
            <v>168.14024079999999</v>
          </cell>
          <cell r="CA1338">
            <v>172.17576880000001</v>
          </cell>
          <cell r="CB1338">
            <v>176.30797240000001</v>
          </cell>
          <cell r="CC1338">
            <v>180.53932680000003</v>
          </cell>
          <cell r="CD1338">
            <v>184.87230719999999</v>
          </cell>
          <cell r="CE1338">
            <v>189.30919839999999</v>
          </cell>
          <cell r="CF1338">
            <v>193.852666</v>
          </cell>
          <cell r="CG1338">
            <v>198.50504240000001</v>
          </cell>
          <cell r="CH1338">
            <v>203.26918360000002</v>
          </cell>
          <cell r="CI1338">
            <v>208.14770759999999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FD8B8-6976-AE41-9950-382DB128E240}">
  <dimension ref="A1:AK8"/>
  <sheetViews>
    <sheetView tabSelected="1" zoomScale="17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9" sqref="B9"/>
    </sheetView>
  </sheetViews>
  <sheetFormatPr baseColWidth="10" defaultRowHeight="16" x14ac:dyDescent="0.2"/>
  <cols>
    <col min="1" max="1" width="17" bestFit="1" customWidth="1"/>
    <col min="2" max="2" width="11.6640625" bestFit="1" customWidth="1"/>
  </cols>
  <sheetData>
    <row r="1" spans="1:37" x14ac:dyDescent="0.2">
      <c r="A1" t="s">
        <v>0</v>
      </c>
      <c r="B1">
        <v>2015</v>
      </c>
      <c r="C1">
        <v>2016</v>
      </c>
      <c r="D1">
        <v>2017</v>
      </c>
      <c r="E1">
        <v>2018</v>
      </c>
      <c r="F1">
        <v>2019</v>
      </c>
      <c r="G1">
        <v>2020</v>
      </c>
      <c r="H1">
        <v>2021</v>
      </c>
      <c r="I1">
        <v>2022</v>
      </c>
      <c r="J1">
        <v>2023</v>
      </c>
      <c r="K1">
        <v>2024</v>
      </c>
      <c r="L1">
        <v>2025</v>
      </c>
      <c r="M1">
        <v>2026</v>
      </c>
      <c r="N1">
        <v>2027</v>
      </c>
      <c r="O1">
        <v>2028</v>
      </c>
      <c r="P1">
        <v>2029</v>
      </c>
      <c r="Q1">
        <v>2030</v>
      </c>
      <c r="R1">
        <v>2031</v>
      </c>
      <c r="S1">
        <v>2032</v>
      </c>
      <c r="T1">
        <v>2033</v>
      </c>
      <c r="U1">
        <v>2034</v>
      </c>
      <c r="V1">
        <v>2035</v>
      </c>
      <c r="W1">
        <v>2036</v>
      </c>
      <c r="X1">
        <v>2037</v>
      </c>
      <c r="Y1">
        <v>2038</v>
      </c>
      <c r="Z1">
        <v>2039</v>
      </c>
      <c r="AA1">
        <v>2040</v>
      </c>
      <c r="AB1">
        <v>2041</v>
      </c>
      <c r="AC1">
        <v>2042</v>
      </c>
      <c r="AD1">
        <v>2043</v>
      </c>
      <c r="AE1">
        <v>2044</v>
      </c>
      <c r="AF1">
        <v>2045</v>
      </c>
      <c r="AG1">
        <v>2046</v>
      </c>
      <c r="AH1">
        <v>2047</v>
      </c>
      <c r="AI1">
        <v>2048</v>
      </c>
      <c r="AJ1">
        <v>2049</v>
      </c>
      <c r="AK1">
        <v>2050</v>
      </c>
    </row>
    <row r="2" spans="1:37" x14ac:dyDescent="0.2">
      <c r="A2" t="s">
        <v>1</v>
      </c>
      <c r="B2" s="1" cm="1">
        <f t="array" ref="B2:AK2">'[1]Transport. LDVs (Liao)'!$AZ1333:$CI1333 / 0.44</f>
        <v>88.161894531229237</v>
      </c>
      <c r="C2" s="1">
        <v>128.22614784844851</v>
      </c>
      <c r="D2" s="1">
        <v>106.55636967096611</v>
      </c>
      <c r="E2" s="1">
        <v>110.25311093434624</v>
      </c>
      <c r="F2" s="1">
        <v>134.57843252601705</v>
      </c>
      <c r="G2" s="1">
        <v>80.891338088972375</v>
      </c>
      <c r="H2" s="1">
        <v>82.933414569401464</v>
      </c>
      <c r="I2" s="1">
        <v>84.975061504376015</v>
      </c>
      <c r="J2" s="1">
        <v>87.016981393896032</v>
      </c>
      <c r="K2" s="1">
        <v>89.059057874325134</v>
      </c>
      <c r="L2" s="1">
        <v>91.100977763845137</v>
      </c>
      <c r="M2" s="1">
        <v>93.374834436247284</v>
      </c>
      <c r="N2" s="1">
        <v>95.705621421298432</v>
      </c>
      <c r="O2" s="1">
        <v>98.094567121393567</v>
      </c>
      <c r="P2" s="1">
        <v>100.54298106329659</v>
      </c>
      <c r="Q2" s="1">
        <v>103.05249292154414</v>
      </c>
      <c r="R2" s="1">
        <v>105.6245043173477</v>
      </c>
      <c r="S2" s="1">
        <v>108.26085316689742</v>
      </c>
      <c r="T2" s="1">
        <v>110.96276853481761</v>
      </c>
      <c r="U2" s="1">
        <v>113.73215281218918</v>
      </c>
      <c r="V2" s="1">
        <v>116.57053667494847</v>
      </c>
      <c r="W2" s="1">
        <v>119.47977955123089</v>
      </c>
      <c r="X2" s="1">
        <v>122.46137378080249</v>
      </c>
      <c r="Y2" s="1">
        <v>125.51749428612078</v>
      </c>
      <c r="Z2" s="1">
        <v>128.64987762005316</v>
      </c>
      <c r="AA2" s="1">
        <v>131.86020516440476</v>
      </c>
      <c r="AB2" s="1">
        <v>135.1507004807182</v>
      </c>
      <c r="AC2" s="1">
        <v>138.52295536029362</v>
      </c>
      <c r="AD2" s="1">
        <v>141.979494120418</v>
      </c>
      <c r="AE2" s="1">
        <v>145.52221910291772</v>
      </c>
      <c r="AF2" s="1">
        <v>149.15318783118934</v>
      </c>
      <c r="AG2" s="1">
        <v>152.87477682735511</v>
      </c>
      <c r="AH2" s="1">
        <v>156.68902231850379</v>
      </c>
      <c r="AI2" s="1">
        <v>160.59851397010917</v>
      </c>
      <c r="AJ2" s="1">
        <v>164.60535073930654</v>
      </c>
      <c r="AK2" s="1">
        <v>168.71200316802245</v>
      </c>
    </row>
    <row r="3" spans="1:37" x14ac:dyDescent="0.2">
      <c r="A3" t="s">
        <v>4</v>
      </c>
      <c r="B3" s="1" cm="1">
        <f t="array" ref="B3:AK3">'[1]Transport. LDVs (Liao)'!$AZ1334:$CI1334 / 0.44</f>
        <v>37.430376136363634</v>
      </c>
      <c r="C3" s="1">
        <v>41.720819318181817</v>
      </c>
      <c r="D3" s="1">
        <v>57.800996590909094</v>
      </c>
      <c r="E3" s="1">
        <v>71.987261363636364</v>
      </c>
      <c r="F3" s="1">
        <v>74.165521363636358</v>
      </c>
      <c r="G3" s="1">
        <v>75.975152500000007</v>
      </c>
      <c r="H3" s="1">
        <v>77.784688636363654</v>
      </c>
      <c r="I3" s="1">
        <v>79.594486363636364</v>
      </c>
      <c r="J3" s="1">
        <v>81.404117499999998</v>
      </c>
      <c r="K3" s="1">
        <v>83.213653636363631</v>
      </c>
      <c r="L3" s="1">
        <v>85.023284772727266</v>
      </c>
      <c r="M3" s="1">
        <v>87.063957727272737</v>
      </c>
      <c r="N3" s="1">
        <v>89.153472499999992</v>
      </c>
      <c r="O3" s="1">
        <v>91.293116363636344</v>
      </c>
      <c r="P3" s="1">
        <v>93.484176590909087</v>
      </c>
      <c r="Q3" s="1">
        <v>95.72779863636363</v>
      </c>
      <c r="R3" s="1">
        <v>98.025317954545457</v>
      </c>
      <c r="S3" s="1">
        <v>100.37785522727272</v>
      </c>
      <c r="T3" s="1">
        <v>102.78696068181819</v>
      </c>
      <c r="U3" s="1">
        <v>105.25382659090909</v>
      </c>
      <c r="V3" s="1">
        <v>107.77993159090909</v>
      </c>
      <c r="W3" s="1">
        <v>110.36661113636363</v>
      </c>
      <c r="X3" s="1">
        <v>113.01548704545455</v>
      </c>
      <c r="Y3" s="1">
        <v>115.7278231818182</v>
      </c>
      <c r="Z3" s="1">
        <v>118.50521795454544</v>
      </c>
      <c r="AA3" s="1">
        <v>121.34936340909091</v>
      </c>
      <c r="AB3" s="1">
        <v>124.26169136363637</v>
      </c>
      <c r="AC3" s="1">
        <v>127.24408522727273</v>
      </c>
      <c r="AD3" s="1">
        <v>130.29792863636365</v>
      </c>
      <c r="AE3" s="1">
        <v>133.42505818181817</v>
      </c>
      <c r="AF3" s="1">
        <v>136.62728568181819</v>
      </c>
      <c r="AG3" s="1">
        <v>139.90630454545456</v>
      </c>
      <c r="AH3" s="1">
        <v>143.26409454545455</v>
      </c>
      <c r="AI3" s="1">
        <v>146.7023725</v>
      </c>
      <c r="AJ3" s="1">
        <v>150.22323659090907</v>
      </c>
      <c r="AK3" s="1">
        <v>153.82864318181819</v>
      </c>
    </row>
    <row r="4" spans="1:37" x14ac:dyDescent="0.2">
      <c r="A4" t="s">
        <v>5</v>
      </c>
      <c r="B4" s="1" cm="1">
        <f t="array" ref="B4:AK4">'[1]Transport. LDVs (Liao)'!$AZ1335:$CI1335 / 0.44</f>
        <v>23.408838409090912</v>
      </c>
      <c r="C4" s="1">
        <v>26.092067954545453</v>
      </c>
      <c r="D4" s="1">
        <v>36.148559772727268</v>
      </c>
      <c r="E4" s="1">
        <v>45.178525</v>
      </c>
      <c r="F4" s="1">
        <v>46.611763636363627</v>
      </c>
      <c r="G4" s="1">
        <v>47.74908613636363</v>
      </c>
      <c r="H4" s="1">
        <v>48.886347045454549</v>
      </c>
      <c r="I4" s="1">
        <v>50.023775909090901</v>
      </c>
      <c r="J4" s="1">
        <v>51.161098409090897</v>
      </c>
      <c r="K4" s="1">
        <v>52.298359318181816</v>
      </c>
      <c r="L4" s="1">
        <v>53.43568181818182</v>
      </c>
      <c r="M4" s="1">
        <v>54.718211590909092</v>
      </c>
      <c r="N4" s="1">
        <v>56.031434999999995</v>
      </c>
      <c r="O4" s="1">
        <v>57.376163636363628</v>
      </c>
      <c r="P4" s="1">
        <v>58.753209090909081</v>
      </c>
      <c r="Q4" s="1">
        <v>60.163287727272724</v>
      </c>
      <c r="R4" s="1">
        <v>61.60723909090909</v>
      </c>
      <c r="S4" s="1">
        <v>63.08576840909091</v>
      </c>
      <c r="T4" s="1">
        <v>64.59984954545456</v>
      </c>
      <c r="U4" s="1">
        <v>66.150232499999987</v>
      </c>
      <c r="V4" s="1">
        <v>67.737846363636365</v>
      </c>
      <c r="W4" s="1">
        <v>69.363530681818176</v>
      </c>
      <c r="X4" s="1">
        <v>71.028304090909089</v>
      </c>
      <c r="Y4" s="1">
        <v>72.732961363636363</v>
      </c>
      <c r="Z4" s="1">
        <v>74.47850431818182</v>
      </c>
      <c r="AA4" s="1">
        <v>76.266002045454542</v>
      </c>
      <c r="AB4" s="1">
        <v>78.096349999999987</v>
      </c>
      <c r="AC4" s="1">
        <v>79.970734772727283</v>
      </c>
      <c r="AD4" s="1">
        <v>81.890023863636358</v>
      </c>
      <c r="AE4" s="1">
        <v>83.855370227272729</v>
      </c>
      <c r="AF4" s="1">
        <v>85.867915681818175</v>
      </c>
      <c r="AG4" s="1">
        <v>87.928723636363628</v>
      </c>
      <c r="AH4" s="1">
        <v>90.039036590909078</v>
      </c>
      <c r="AI4" s="1">
        <v>92.199934772727261</v>
      </c>
      <c r="AJ4" s="1">
        <v>94.412739090909085</v>
      </c>
      <c r="AK4" s="1">
        <v>96.678675227272734</v>
      </c>
    </row>
    <row r="5" spans="1:37" x14ac:dyDescent="0.2">
      <c r="A5" t="s">
        <v>2</v>
      </c>
      <c r="B5" s="1" cm="1">
        <f t="array" ref="B5:AK5">(0.5 * '[1]Transport. LDVs (Liao)'!$AZ1336:$CI1336) / 0.44</f>
        <v>84.284104526582624</v>
      </c>
      <c r="C5" s="1">
        <v>133.32595109640027</v>
      </c>
      <c r="D5" s="1">
        <v>91.263445933440551</v>
      </c>
      <c r="E5" s="1">
        <v>87.738731147202316</v>
      </c>
      <c r="F5" s="1">
        <v>119.49027390208691</v>
      </c>
      <c r="G5" s="1">
        <v>47.517599786751255</v>
      </c>
      <c r="H5" s="1">
        <v>48.801069486797488</v>
      </c>
      <c r="I5" s="1">
        <v>50.083852823207373</v>
      </c>
      <c r="J5" s="1">
        <v>51.367086045980898</v>
      </c>
      <c r="K5" s="1">
        <v>52.650555746027067</v>
      </c>
      <c r="L5" s="1">
        <v>53.933788968800556</v>
      </c>
      <c r="M5" s="1">
        <v>55.343081083229734</v>
      </c>
      <c r="N5" s="1">
        <v>56.789339101237793</v>
      </c>
      <c r="O5" s="1">
        <v>58.273239561977356</v>
      </c>
      <c r="P5" s="1">
        <v>59.795565642756223</v>
      </c>
      <c r="Q5" s="1">
        <v>61.357492372691269</v>
      </c>
      <c r="R5" s="1">
        <v>62.959833727938403</v>
      </c>
      <c r="S5" s="1">
        <v>64.604158541860684</v>
      </c>
      <c r="T5" s="1">
        <v>66.290872618081153</v>
      </c>
      <c r="U5" s="1">
        <v>68.021569093498357</v>
      </c>
      <c r="V5" s="1">
        <v>69.797110689288644</v>
      </c>
      <c r="W5" s="1">
        <v>71.618913169778793</v>
      </c>
      <c r="X5" s="1">
        <v>73.487667965478792</v>
      </c>
      <c r="Y5" s="1">
        <v>75.405266007514427</v>
      </c>
      <c r="Z5" s="1">
        <v>77.372689934381285</v>
      </c>
      <c r="AA5" s="1">
        <v>79.390969104710052</v>
      </c>
      <c r="AB5" s="1">
        <v>81.46181741796677</v>
      </c>
      <c r="AC5" s="1">
        <v>83.585935308686615</v>
      </c>
      <c r="AD5" s="1">
        <v>85.765522279896416</v>
      </c>
      <c r="AE5" s="1">
        <v>88.001627364148888</v>
      </c>
      <c r="AF5" s="1">
        <v>90.295623650651251</v>
      </c>
      <c r="AG5" s="1">
        <v>92.649304380647891</v>
      </c>
      <c r="AH5" s="1">
        <v>95.063773681464099</v>
      </c>
      <c r="AI5" s="1">
        <v>97.541134782384887</v>
      </c>
      <c r="AJ5" s="1">
        <v>100.08257344197656</v>
      </c>
      <c r="AK5" s="1">
        <v>102.68973488468427</v>
      </c>
    </row>
    <row r="6" spans="1:37" x14ac:dyDescent="0.2">
      <c r="A6" t="s">
        <v>3</v>
      </c>
      <c r="B6" s="1" cm="1">
        <f t="array" ref="B6:AK6">(0.5 * '[1]Transport. LDVs (Liao)'!$AZ1336:$CI1336) / 0.44</f>
        <v>84.284104526582624</v>
      </c>
      <c r="C6" s="1">
        <v>133.32595109640027</v>
      </c>
      <c r="D6" s="1">
        <v>91.263445933440551</v>
      </c>
      <c r="E6" s="1">
        <v>87.738731147202316</v>
      </c>
      <c r="F6" s="1">
        <v>119.49027390208691</v>
      </c>
      <c r="G6" s="1">
        <v>47.517599786751255</v>
      </c>
      <c r="H6" s="1">
        <v>48.801069486797488</v>
      </c>
      <c r="I6" s="1">
        <v>50.083852823207373</v>
      </c>
      <c r="J6" s="1">
        <v>51.367086045980898</v>
      </c>
      <c r="K6" s="1">
        <v>52.650555746027067</v>
      </c>
      <c r="L6" s="1">
        <v>53.933788968800556</v>
      </c>
      <c r="M6" s="1">
        <v>55.343081083229734</v>
      </c>
      <c r="N6" s="1">
        <v>56.789339101237793</v>
      </c>
      <c r="O6" s="1">
        <v>58.273239561977356</v>
      </c>
      <c r="P6" s="1">
        <v>59.795565642756223</v>
      </c>
      <c r="Q6" s="1">
        <v>61.357492372691269</v>
      </c>
      <c r="R6" s="1">
        <v>62.959833727938403</v>
      </c>
      <c r="S6" s="1">
        <v>64.604158541860684</v>
      </c>
      <c r="T6" s="1">
        <v>66.290872618081153</v>
      </c>
      <c r="U6" s="1">
        <v>68.021569093498357</v>
      </c>
      <c r="V6" s="1">
        <v>69.797110689288644</v>
      </c>
      <c r="W6" s="1">
        <v>71.618913169778793</v>
      </c>
      <c r="X6" s="1">
        <v>73.487667965478792</v>
      </c>
      <c r="Y6" s="1">
        <v>75.405266007514427</v>
      </c>
      <c r="Z6" s="1">
        <v>77.372689934381285</v>
      </c>
      <c r="AA6" s="1">
        <v>79.390969104710052</v>
      </c>
      <c r="AB6" s="1">
        <v>81.46181741796677</v>
      </c>
      <c r="AC6" s="1">
        <v>83.585935308686615</v>
      </c>
      <c r="AD6" s="1">
        <v>85.765522279896416</v>
      </c>
      <c r="AE6" s="1">
        <v>88.001627364148888</v>
      </c>
      <c r="AF6" s="1">
        <v>90.295623650651251</v>
      </c>
      <c r="AG6" s="1">
        <v>92.649304380647891</v>
      </c>
      <c r="AH6" s="1">
        <v>95.063773681464099</v>
      </c>
      <c r="AI6" s="1">
        <v>97.541134782384887</v>
      </c>
      <c r="AJ6" s="1">
        <v>100.08257344197656</v>
      </c>
      <c r="AK6" s="1">
        <v>102.68973488468427</v>
      </c>
    </row>
    <row r="7" spans="1:37" x14ac:dyDescent="0.2">
      <c r="A7" t="s">
        <v>6</v>
      </c>
      <c r="B7" s="1" cm="1">
        <f t="array" ref="B7:AK7">'[1]Transport. LDVs (Liao)'!$AZ1337:$CI1337 / 0.44</f>
        <v>110.03342318181818</v>
      </c>
      <c r="C7" s="1">
        <v>122.64596409090909</v>
      </c>
      <c r="D7" s="1">
        <v>169.91658045454543</v>
      </c>
      <c r="E7" s="1">
        <v>202.13229090909093</v>
      </c>
      <c r="F7" s="1">
        <v>204.27250227272728</v>
      </c>
      <c r="G7" s="1">
        <v>209.25671636363634</v>
      </c>
      <c r="H7" s="1">
        <v>214.24078204545455</v>
      </c>
      <c r="I7" s="1">
        <v>219.22535499999998</v>
      </c>
      <c r="J7" s="1">
        <v>224.20956909090907</v>
      </c>
      <c r="K7" s="1">
        <v>229.19363477272725</v>
      </c>
      <c r="L7" s="1">
        <v>234.17784886363634</v>
      </c>
      <c r="M7" s="1">
        <v>239.79833022727274</v>
      </c>
      <c r="N7" s="1">
        <v>245.5534925</v>
      </c>
      <c r="O7" s="1">
        <v>251.44672727272729</v>
      </c>
      <c r="P7" s="1">
        <v>257.48142613636361</v>
      </c>
      <c r="Q7" s="1">
        <v>263.66095636363633</v>
      </c>
      <c r="R7" s="1">
        <v>269.98898204545452</v>
      </c>
      <c r="S7" s="1">
        <v>276.46853590909092</v>
      </c>
      <c r="T7" s="1">
        <v>283.10391340909086</v>
      </c>
      <c r="U7" s="1">
        <v>289.8983577272727</v>
      </c>
      <c r="V7" s="1">
        <v>296.85595386363639</v>
      </c>
      <c r="W7" s="1">
        <v>303.98036590909089</v>
      </c>
      <c r="X7" s="1">
        <v>311.27609977272726</v>
      </c>
      <c r="Y7" s="1">
        <v>318.74660909090915</v>
      </c>
      <c r="Z7" s="1">
        <v>326.39646181818176</v>
      </c>
      <c r="AA7" s="1">
        <v>334.22997772727268</v>
      </c>
      <c r="AB7" s="1">
        <v>342.25136590909091</v>
      </c>
      <c r="AC7" s="1">
        <v>350.46563954545462</v>
      </c>
      <c r="AD7" s="1">
        <v>358.8767352272726</v>
      </c>
      <c r="AE7" s="1">
        <v>367.48979022727269</v>
      </c>
      <c r="AF7" s="1">
        <v>376.30960727272731</v>
      </c>
      <c r="AG7" s="1">
        <v>385.34090272727275</v>
      </c>
      <c r="AH7" s="1">
        <v>394.58923477272725</v>
      </c>
      <c r="AI7" s="1">
        <v>404.05925772727272</v>
      </c>
      <c r="AJ7" s="1">
        <v>413.75661613636362</v>
      </c>
      <c r="AK7" s="1">
        <v>423.68693022727268</v>
      </c>
    </row>
    <row r="8" spans="1:37" x14ac:dyDescent="0.2">
      <c r="A8" t="s">
        <v>7</v>
      </c>
      <c r="B8" s="1" cm="1">
        <f t="array" ref="B8:AK8">'[1]Transport. LDVs (Liao)'!$AZ1338:$CI1338 / 0.44</f>
        <v>113.12291454545453</v>
      </c>
      <c r="C8" s="1">
        <v>126.08958727272727</v>
      </c>
      <c r="D8" s="1">
        <v>174.68745636363636</v>
      </c>
      <c r="E8" s="1">
        <v>220.27549090909093</v>
      </c>
      <c r="F8" s="1">
        <v>228.07821272727276</v>
      </c>
      <c r="G8" s="1">
        <v>233.64330181818181</v>
      </c>
      <c r="H8" s="1">
        <v>239.20806636363636</v>
      </c>
      <c r="I8" s="1">
        <v>244.77369636363636</v>
      </c>
      <c r="J8" s="1">
        <v>250.33878545454544</v>
      </c>
      <c r="K8" s="1">
        <v>255.90355000000002</v>
      </c>
      <c r="L8" s="1">
        <v>261.46863909090911</v>
      </c>
      <c r="M8" s="1">
        <v>267.74426636363637</v>
      </c>
      <c r="N8" s="1">
        <v>274.17005</v>
      </c>
      <c r="O8" s="1">
        <v>280.74999272727274</v>
      </c>
      <c r="P8" s="1">
        <v>287.48809727272732</v>
      </c>
      <c r="Q8" s="1">
        <v>294.38782545454541</v>
      </c>
      <c r="R8" s="1">
        <v>301.45328818181827</v>
      </c>
      <c r="S8" s="1">
        <v>308.68794727272729</v>
      </c>
      <c r="T8" s="1">
        <v>316.09656272727267</v>
      </c>
      <c r="U8" s="1">
        <v>323.68281272727268</v>
      </c>
      <c r="V8" s="1">
        <v>331.45124090909093</v>
      </c>
      <c r="W8" s="1">
        <v>339.40595818181822</v>
      </c>
      <c r="X8" s="1">
        <v>347.55194090909089</v>
      </c>
      <c r="Y8" s="1">
        <v>355.8930836363636</v>
      </c>
      <c r="Z8" s="1">
        <v>364.43425454545451</v>
      </c>
      <c r="AA8" s="1">
        <v>373.18075454545453</v>
      </c>
      <c r="AB8" s="1">
        <v>382.13691090909089</v>
      </c>
      <c r="AC8" s="1">
        <v>391.30856545454549</v>
      </c>
      <c r="AD8" s="1">
        <v>400.69993727272731</v>
      </c>
      <c r="AE8" s="1">
        <v>410.31665181818187</v>
      </c>
      <c r="AF8" s="1">
        <v>420.16433454545455</v>
      </c>
      <c r="AG8" s="1">
        <v>430.24817818181816</v>
      </c>
      <c r="AH8" s="1">
        <v>440.57424090909092</v>
      </c>
      <c r="AI8" s="1">
        <v>451.14782363636363</v>
      </c>
      <c r="AJ8" s="1">
        <v>461.97541727272733</v>
      </c>
      <c r="AK8" s="1">
        <v>473.06297181818178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Alissa Tsai</dc:creator>
  <cp:lastModifiedBy>Tsai, Alissa</cp:lastModifiedBy>
  <dcterms:created xsi:type="dcterms:W3CDTF">2024-12-03T05:07:22Z</dcterms:created>
  <dcterms:modified xsi:type="dcterms:W3CDTF">2026-03-23T20:28:06Z</dcterms:modified>
</cp:coreProperties>
</file>