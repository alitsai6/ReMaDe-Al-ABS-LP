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6F9495AE-8061-B148-ADA2-72608C784213}" xr6:coauthVersionLast="47" xr6:coauthVersionMax="47" xr10:uidLastSave="{00000000-0000-0000-0000-000000000000}"/>
  <bookViews>
    <workbookView xWindow="7780" yWindow="3760" windowWidth="25600" windowHeight="13220" xr2:uid="{E24E5E42-CEC6-4849-8438-F95E18340B1B}"/>
  </bookViews>
  <sheets>
    <sheet name="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 a="1"/>
  <c r="Q6" i="1" s="1"/>
  <c r="Q3" i="1" a="1"/>
  <c r="Q3" i="1" s="1"/>
  <c r="B7" i="1" l="1" a="1"/>
  <c r="B7" i="1" s="1"/>
  <c r="Q7" i="1" a="1"/>
  <c r="Q7" i="1" s="1"/>
  <c r="Q8" i="1" a="1"/>
  <c r="Q8" i="1" s="1"/>
  <c r="Q9" i="1" a="1"/>
  <c r="Q9" i="1" s="1"/>
  <c r="B4" i="1" a="1"/>
  <c r="B4" i="1" s="1"/>
  <c r="B5" i="1" a="1"/>
  <c r="B5" i="1" s="1"/>
  <c r="B8" i="1" a="1"/>
  <c r="B8" i="1" s="1"/>
  <c r="B9" i="1" a="1"/>
  <c r="B9" i="1" s="1"/>
  <c r="B10" i="1" a="1"/>
  <c r="B10" i="1" s="1"/>
  <c r="B2" i="1" a="1"/>
  <c r="B2" i="1" s="1"/>
  <c r="Q11" i="1" l="1" a="1"/>
  <c r="Q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0E6EEB9E-5F76-5D42-8759-2036EB7A493B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from "DMFA_final_06112024"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Assume:
</t>
        </r>
        <r>
          <rPr>
            <sz val="10"/>
            <color rgb="FF000000"/>
            <rFont val="Tahoma"/>
            <family val="2"/>
          </rPr>
          <t xml:space="preserve">5x A1 = half of non-Ford 5x demand + Low Mg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5x A2 = </t>
        </r>
        <r>
          <rPr>
            <sz val="10"/>
            <color rgb="FF000000"/>
            <rFont val="Aptos Narrow"/>
          </rPr>
          <t xml:space="preserve">half of non-Ford 5x demand + High Mg
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6x A1 = half of non-Ford 6x demand + Low Cu
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Aptos Narrow"/>
          </rPr>
          <t xml:space="preserve">6x A2 = half of non-Ford 6x demand + High Cu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<sst xmlns="http://schemas.openxmlformats.org/spreadsheetml/2006/main" count="11" uniqueCount="11">
  <si>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Alloy</t>
  </si>
  <si>
    <t>Auto Sheet 5xxx</t>
  </si>
  <si>
    <t>Auto Sheet 6xxx 6005C</t>
  </si>
  <si>
    <t>Auto Sheet 6xxx 6016</t>
  </si>
  <si>
    <t>Auto Sheet HRC 5xxx Alloy 2</t>
  </si>
  <si>
    <t>Auto Sheet Ford Low Mg</t>
  </si>
  <si>
    <t>Auto Sheet Ford High Mg</t>
  </si>
  <si>
    <t>Auto Sheet Ford Low Cu</t>
  </si>
  <si>
    <t>Auto Sheet Ford High Cu</t>
  </si>
  <si>
    <t>Auto Sheet Ford HRC 5xxx Alloy 2</t>
  </si>
  <si>
    <t>Auto Sheet Ford HRC 6xxx Alloy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</si>
</sst>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000000"/>
      <name val="Aptos Narrow"/>
      <family val="2"/>
      <scheme val="minor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</v>
          </cell>
          <cell r="R2">
            <v>103.35242096460142</v>
          </cell>
          <cell r="S2">
            <v>105.39418426321231</v>
          </cell>
          <cell r="T2">
            <v>107.4361041527323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119.68754735348853</v>
          </cell>
          <cell r="AA2">
            <v>121.72946724300844</v>
          </cell>
          <cell r="AB2">
            <v>123.77138713252849</v>
          </cell>
          <cell r="AC2">
            <v>125.81330702204845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94.071583636363656</v>
          </cell>
          <cell r="R3">
            <v>95.881119772727274</v>
          </cell>
          <cell r="S3">
            <v>97.690845909090896</v>
          </cell>
          <cell r="T3">
            <v>99.500477045454531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110.35831204545454</v>
          </cell>
          <cell r="AA3">
            <v>112.16794318181819</v>
          </cell>
          <cell r="AB3">
            <v>113.97757431818181</v>
          </cell>
          <cell r="AC3">
            <v>115.78720545454544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124.83550431818183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59.122383863636372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75.044909999999987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79.594244772727265</v>
          </cell>
          <cell r="AJ4">
            <v>80.731567272727261</v>
          </cell>
          <cell r="AK4">
            <v>81.868889772727272</v>
          </cell>
        </row>
        <row r="5"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60.34952826448616</v>
          </cell>
          <cell r="R5">
            <v>61.632997964532294</v>
          </cell>
          <cell r="S5">
            <v>62.915994710033083</v>
          </cell>
          <cell r="T5">
            <v>64.199227932806508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78.314626110587355</v>
          </cell>
          <cell r="AF5">
            <v>79.597859333360859</v>
          </cell>
          <cell r="AG5">
            <v>80.880856078861541</v>
          </cell>
          <cell r="AH5">
            <v>82.163875892544198</v>
          </cell>
          <cell r="AI5">
            <v>83.44734559259031</v>
          </cell>
          <cell r="AJ5">
            <v>84.730578815363856</v>
          </cell>
          <cell r="AK5">
            <v>86.013812038137232</v>
          </cell>
        </row>
        <row r="6"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60.34952826448616</v>
          </cell>
          <cell r="R6">
            <v>61.632997964532294</v>
          </cell>
          <cell r="S6">
            <v>62.915994710033083</v>
          </cell>
          <cell r="T6">
            <v>64.199227932806508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78.314626110587355</v>
          </cell>
          <cell r="AF6">
            <v>79.597859333360859</v>
          </cell>
          <cell r="AG6">
            <v>80.880856078861541</v>
          </cell>
          <cell r="AH6">
            <v>82.163875892544198</v>
          </cell>
          <cell r="AI6">
            <v>83.44734559259031</v>
          </cell>
          <cell r="AJ6">
            <v>84.730578815363856</v>
          </cell>
          <cell r="AK6">
            <v>86.013812038137232</v>
          </cell>
        </row>
        <row r="7"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274.05198249999995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303.95753954545449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323.89460636363629</v>
          </cell>
          <cell r="AE7">
            <v>328.87867204545449</v>
          </cell>
          <cell r="AF7">
            <v>333.86288613636361</v>
          </cell>
          <cell r="AG7">
            <v>338.84724863636353</v>
          </cell>
          <cell r="AH7">
            <v>343.83167318181813</v>
          </cell>
          <cell r="AI7">
            <v>348.81573886363628</v>
          </cell>
          <cell r="AJ7">
            <v>353.79995295454535</v>
          </cell>
          <cell r="AK7">
            <v>358.78416704545458</v>
          </cell>
        </row>
        <row r="8"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7083-ECD0-9044-9816-10472854C01D}">
  <dimension ref="A1:AK14"/>
  <sheetViews>
    <sheetView tabSelected="1" zoomScale="1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Q5" sqref="Q5"/>
    </sheetView>
  </sheetViews>
  <sheetFormatPr baseColWidth="10" defaultRowHeight="16" x14ac:dyDescent="0.2"/>
  <cols>
    <col min="1" max="1" width="27.83203125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P2">[1]Sheet!$B2:$P2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>
        <v>93.142781289728759</v>
      </c>
      <c r="N2">
        <v>95.184544588339648</v>
      </c>
      <c r="O2">
        <v>97.226621068768736</v>
      </c>
      <c r="P2">
        <v>99.268540958288725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 cm="1">
        <f t="array" ref="Q3:AK3" xml:space="preserve"> [1]Sheet!$Q$2:$AK$2</f>
        <v>101.3103444841723</v>
      </c>
      <c r="R3" s="1">
        <v>103.35242096460142</v>
      </c>
      <c r="S3" s="1">
        <v>105.39418426321231</v>
      </c>
      <c r="T3" s="1">
        <v>107.4361041527323</v>
      </c>
      <c r="U3" s="1">
        <v>109.47806426952495</v>
      </c>
      <c r="V3" s="1">
        <v>111.51998415904494</v>
      </c>
      <c r="W3" s="1">
        <v>113.56174745765583</v>
      </c>
      <c r="X3" s="1">
        <v>115.60366734717581</v>
      </c>
      <c r="Y3" s="1">
        <v>117.64574382760493</v>
      </c>
      <c r="Z3" s="1">
        <v>119.68754735348853</v>
      </c>
      <c r="AA3" s="1">
        <v>121.72946724300844</v>
      </c>
      <c r="AB3" s="1">
        <v>123.77138713252849</v>
      </c>
      <c r="AC3" s="1">
        <v>125.81330702204845</v>
      </c>
      <c r="AD3" s="1">
        <v>127.85511054793207</v>
      </c>
      <c r="AE3" s="1">
        <v>129.89718702836112</v>
      </c>
      <c r="AF3" s="1">
        <v>131.93910691788113</v>
      </c>
      <c r="AG3" s="1">
        <v>133.98087021649201</v>
      </c>
      <c r="AH3" s="1">
        <v>136.02267374237564</v>
      </c>
      <c r="AI3" s="1">
        <v>138.06475022280469</v>
      </c>
      <c r="AJ3" s="1">
        <v>140.10667011232471</v>
      </c>
      <c r="AK3" s="1">
        <v>142.14859000184467</v>
      </c>
    </row>
    <row r="4" spans="1:37" x14ac:dyDescent="0.2">
      <c r="A4" t="s">
        <v>5</v>
      </c>
      <c r="B4" s="1" cm="1">
        <f t="array" ref="B4:P4">[1]Sheet!$B3:$P3</f>
        <v>37.430376136363634</v>
      </c>
      <c r="C4" s="1">
        <v>41.720819318181817</v>
      </c>
      <c r="D4" s="1">
        <v>57.800996590909094</v>
      </c>
      <c r="E4" s="1">
        <v>71.987261363636364</v>
      </c>
      <c r="F4" s="1">
        <v>74.165521363636358</v>
      </c>
      <c r="G4" s="1">
        <v>75.975152500000007</v>
      </c>
      <c r="H4" s="1">
        <v>77.784688636363654</v>
      </c>
      <c r="I4" s="1">
        <v>79.594486363636364</v>
      </c>
      <c r="J4" s="1">
        <v>81.404117499999998</v>
      </c>
      <c r="K4" s="1">
        <v>83.213653636363631</v>
      </c>
      <c r="L4" s="1">
        <v>85.023284772727266</v>
      </c>
      <c r="M4">
        <v>86.832987500000016</v>
      </c>
      <c r="N4">
        <v>88.642713636363638</v>
      </c>
      <c r="O4">
        <v>90.452249772727271</v>
      </c>
      <c r="P4">
        <v>92.261880909090891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">
        <v>6</v>
      </c>
      <c r="B5" s="1" cm="1">
        <f t="array" ref="B5:P5">[1]Sheet!$B4:$P4</f>
        <v>23.408838409090912</v>
      </c>
      <c r="C5" s="1">
        <v>26.092067954545453</v>
      </c>
      <c r="D5" s="1">
        <v>36.148559772727268</v>
      </c>
      <c r="E5" s="1">
        <v>45.178525</v>
      </c>
      <c r="F5" s="1">
        <v>46.611763636363627</v>
      </c>
      <c r="G5" s="1">
        <v>47.74908613636363</v>
      </c>
      <c r="H5" s="1">
        <v>48.886347045454549</v>
      </c>
      <c r="I5" s="1">
        <v>50.023775909090901</v>
      </c>
      <c r="J5" s="1">
        <v>51.161098409090897</v>
      </c>
      <c r="K5" s="1">
        <v>52.298359318181816</v>
      </c>
      <c r="L5" s="1">
        <v>53.43568181818182</v>
      </c>
      <c r="M5">
        <v>54.57304909090908</v>
      </c>
      <c r="N5">
        <v>55.710433181818182</v>
      </c>
      <c r="O5">
        <v>56.847694090909087</v>
      </c>
      <c r="P5">
        <v>57.985016590909083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cm="1">
        <f t="array" ref="Q6:AK6">[1]Sheet!$Q$3:$AK$3 + [1]Sheet!$Q$4:$AK$4</f>
        <v>153.19396750000004</v>
      </c>
      <c r="R6">
        <v>156.14076454545454</v>
      </c>
      <c r="S6">
        <v>159.08787477272728</v>
      </c>
      <c r="T6">
        <v>162.03482840909089</v>
      </c>
      <c r="U6">
        <v>164.98174181818183</v>
      </c>
      <c r="V6">
        <v>167.92869545454545</v>
      </c>
      <c r="W6">
        <v>170.87580568181818</v>
      </c>
      <c r="X6">
        <v>173.8227593181818</v>
      </c>
      <c r="Y6">
        <v>176.76955636363635</v>
      </c>
      <c r="Z6">
        <v>179.71662636363635</v>
      </c>
      <c r="AA6">
        <v>182.66358000000002</v>
      </c>
      <c r="AB6">
        <v>185.61053363636364</v>
      </c>
      <c r="AC6">
        <v>188.55748727272726</v>
      </c>
      <c r="AD6">
        <v>191.50455727272725</v>
      </c>
      <c r="AE6">
        <v>194.45135431818181</v>
      </c>
      <c r="AF6">
        <v>197.39830795454543</v>
      </c>
      <c r="AG6">
        <v>200.34541818181819</v>
      </c>
      <c r="AH6">
        <v>203.29248818181821</v>
      </c>
      <c r="AI6">
        <v>206.23928522727272</v>
      </c>
      <c r="AJ6">
        <v>209.18623886363633</v>
      </c>
      <c r="AK6">
        <v>212.13319249999998</v>
      </c>
    </row>
    <row r="7" spans="1:37" x14ac:dyDescent="0.2">
      <c r="A7" t="s">
        <v>2</v>
      </c>
      <c r="B7" s="1" cm="1">
        <f t="array" ref="B7:P7">[1]Sheet!$B5:$P5</f>
        <v>84.284104526582624</v>
      </c>
      <c r="C7" s="1">
        <v>133.32595109640027</v>
      </c>
      <c r="D7" s="1">
        <v>91.263445933440551</v>
      </c>
      <c r="E7" s="1">
        <v>87.738731147202316</v>
      </c>
      <c r="F7" s="1">
        <v>119.49027390208691</v>
      </c>
      <c r="G7" s="1">
        <v>47.517599786751255</v>
      </c>
      <c r="H7" s="1">
        <v>48.801069486797488</v>
      </c>
      <c r="I7" s="1">
        <v>50.083852823207373</v>
      </c>
      <c r="J7" s="1">
        <v>51.367086045980898</v>
      </c>
      <c r="K7" s="1">
        <v>52.650555746027067</v>
      </c>
      <c r="L7" s="1">
        <v>53.933788968800556</v>
      </c>
      <c r="M7" s="1">
        <v>55.216808782483184</v>
      </c>
      <c r="N7" s="1">
        <v>56.499805527983938</v>
      </c>
      <c r="O7" s="1">
        <v>57.783275228030107</v>
      </c>
      <c r="P7" s="1">
        <v>59.066508450803532</v>
      </c>
      <c r="Q7" s="1" cm="1">
        <f t="array" ref="Q7:AK7">[1]Sheet!$Q5:$AK5</f>
        <v>60.34952826448616</v>
      </c>
      <c r="R7" s="1">
        <v>61.632997964532294</v>
      </c>
      <c r="S7" s="1">
        <v>62.915994710033083</v>
      </c>
      <c r="T7" s="1">
        <v>64.199227932806508</v>
      </c>
      <c r="U7" s="1">
        <v>65.482484223761816</v>
      </c>
      <c r="V7" s="1">
        <v>66.765717446535234</v>
      </c>
      <c r="W7" s="1">
        <v>68.048714192036002</v>
      </c>
      <c r="X7" s="1">
        <v>69.331947414809491</v>
      </c>
      <c r="Y7" s="1">
        <v>70.61541711485566</v>
      </c>
      <c r="Z7" s="1">
        <v>71.898436928538246</v>
      </c>
      <c r="AA7" s="1">
        <v>73.181670151311678</v>
      </c>
      <c r="AB7" s="1">
        <v>74.464903374085111</v>
      </c>
      <c r="AC7" s="1">
        <v>75.7481365968586</v>
      </c>
      <c r="AD7" s="1">
        <v>77.031156410541186</v>
      </c>
      <c r="AE7" s="1">
        <v>78.314626110587355</v>
      </c>
      <c r="AF7" s="1">
        <v>79.597859333360859</v>
      </c>
      <c r="AG7" s="1">
        <v>80.880856078861541</v>
      </c>
      <c r="AH7" s="1">
        <v>82.163875892544198</v>
      </c>
      <c r="AI7" s="1">
        <v>83.44734559259031</v>
      </c>
      <c r="AJ7" s="1">
        <v>84.730578815363856</v>
      </c>
      <c r="AK7" s="1">
        <v>86.013812038137232</v>
      </c>
    </row>
    <row r="8" spans="1:37" x14ac:dyDescent="0.2">
      <c r="A8" t="s">
        <v>3</v>
      </c>
      <c r="B8" s="1" cm="1">
        <f t="array" ref="B8:P8">[1]Sheet!$B6:$P6</f>
        <v>84.284104526582624</v>
      </c>
      <c r="C8" s="1">
        <v>133.32595109640027</v>
      </c>
      <c r="D8" s="1">
        <v>91.263445933440551</v>
      </c>
      <c r="E8" s="1">
        <v>87.738731147202316</v>
      </c>
      <c r="F8" s="1">
        <v>119.49027390208691</v>
      </c>
      <c r="G8" s="1">
        <v>47.517599786751255</v>
      </c>
      <c r="H8" s="1">
        <v>48.801069486797488</v>
      </c>
      <c r="I8" s="1">
        <v>50.083852823207373</v>
      </c>
      <c r="J8" s="1">
        <v>51.367086045980898</v>
      </c>
      <c r="K8" s="1">
        <v>52.650555746027067</v>
      </c>
      <c r="L8" s="1">
        <v>53.933788968800556</v>
      </c>
      <c r="M8" s="1">
        <v>55.216808782483184</v>
      </c>
      <c r="N8" s="1">
        <v>56.499805527983938</v>
      </c>
      <c r="O8" s="1">
        <v>57.783275228030107</v>
      </c>
      <c r="P8" s="1">
        <v>59.066508450803532</v>
      </c>
      <c r="Q8" s="1" cm="1">
        <f t="array" ref="Q8:AK8">[1]Sheet!$Q6:$AK6</f>
        <v>60.34952826448616</v>
      </c>
      <c r="R8" s="1">
        <v>61.632997964532294</v>
      </c>
      <c r="S8" s="1">
        <v>62.915994710033083</v>
      </c>
      <c r="T8" s="1">
        <v>64.199227932806508</v>
      </c>
      <c r="U8" s="1">
        <v>65.482484223761816</v>
      </c>
      <c r="V8" s="1">
        <v>66.765717446535234</v>
      </c>
      <c r="W8" s="1">
        <v>68.048714192036002</v>
      </c>
      <c r="X8" s="1">
        <v>69.331947414809491</v>
      </c>
      <c r="Y8" s="1">
        <v>70.61541711485566</v>
      </c>
      <c r="Z8" s="1">
        <v>71.898436928538246</v>
      </c>
      <c r="AA8" s="1">
        <v>73.181670151311678</v>
      </c>
      <c r="AB8" s="1">
        <v>74.464903374085111</v>
      </c>
      <c r="AC8" s="1">
        <v>75.7481365968586</v>
      </c>
      <c r="AD8" s="1">
        <v>77.031156410541186</v>
      </c>
      <c r="AE8" s="1">
        <v>78.314626110587355</v>
      </c>
      <c r="AF8" s="1">
        <v>79.597859333360859</v>
      </c>
      <c r="AG8" s="1">
        <v>80.880856078861541</v>
      </c>
      <c r="AH8" s="1">
        <v>82.163875892544198</v>
      </c>
      <c r="AI8" s="1">
        <v>83.44734559259031</v>
      </c>
      <c r="AJ8" s="1">
        <v>84.730578815363856</v>
      </c>
      <c r="AK8" s="1">
        <v>86.013812038137232</v>
      </c>
    </row>
    <row r="9" spans="1:37" x14ac:dyDescent="0.2">
      <c r="A9" t="s">
        <v>7</v>
      </c>
      <c r="B9" s="1" cm="1">
        <f t="array" ref="B9:P9">[1]Sheet!$B7:$P7</f>
        <v>110.03342318181818</v>
      </c>
      <c r="C9" s="1">
        <v>122.64596409090909</v>
      </c>
      <c r="D9" s="1">
        <v>169.91658045454543</v>
      </c>
      <c r="E9" s="1">
        <v>202.13229090909093</v>
      </c>
      <c r="F9" s="1">
        <v>204.27250227272728</v>
      </c>
      <c r="G9" s="1">
        <v>209.25671636363634</v>
      </c>
      <c r="H9" s="1">
        <v>214.24078204545455</v>
      </c>
      <c r="I9" s="1">
        <v>219.22535499999998</v>
      </c>
      <c r="J9" s="1">
        <v>224.20956909090907</v>
      </c>
      <c r="K9" s="1">
        <v>229.19363477272725</v>
      </c>
      <c r="L9" s="1">
        <v>234.17784886363634</v>
      </c>
      <c r="M9" s="1">
        <v>239.16227340909089</v>
      </c>
      <c r="N9" s="1">
        <v>244.14663590909092</v>
      </c>
      <c r="O9" s="1">
        <v>249.1307015909091</v>
      </c>
      <c r="P9" s="1">
        <v>254.11491568181816</v>
      </c>
      <c r="Q9" s="1" cm="1">
        <f t="array" ref="Q9:AK9">[1]Sheet!$Q7:$AK7</f>
        <v>259.09934022727271</v>
      </c>
      <c r="R9" s="1">
        <v>264.08340590909091</v>
      </c>
      <c r="S9" s="1">
        <v>269.06776840909089</v>
      </c>
      <c r="T9" s="1">
        <v>274.05198249999995</v>
      </c>
      <c r="U9" s="1">
        <v>279.03625863636364</v>
      </c>
      <c r="V9" s="1">
        <v>284.0204727272727</v>
      </c>
      <c r="W9" s="1">
        <v>289.00483522727274</v>
      </c>
      <c r="X9" s="1">
        <v>293.9890493181818</v>
      </c>
      <c r="Y9" s="1">
        <v>298.97311500000001</v>
      </c>
      <c r="Z9" s="1">
        <v>303.95753954545449</v>
      </c>
      <c r="AA9" s="1">
        <v>308.94175363636361</v>
      </c>
      <c r="AB9" s="1">
        <v>313.92596772727273</v>
      </c>
      <c r="AC9" s="1">
        <v>318.9101818181818</v>
      </c>
      <c r="AD9" s="1">
        <v>323.89460636363629</v>
      </c>
      <c r="AE9" s="1">
        <v>328.87867204545449</v>
      </c>
      <c r="AF9" s="1">
        <v>333.86288613636361</v>
      </c>
      <c r="AG9" s="1">
        <v>338.84724863636353</v>
      </c>
      <c r="AH9" s="1">
        <v>343.83167318181813</v>
      </c>
      <c r="AI9" s="1">
        <v>348.81573886363628</v>
      </c>
      <c r="AJ9" s="1">
        <v>353.79995295454535</v>
      </c>
      <c r="AK9" s="1">
        <v>358.78416704545458</v>
      </c>
    </row>
    <row r="10" spans="1:37" x14ac:dyDescent="0.2">
      <c r="A10" t="s">
        <v>8</v>
      </c>
      <c r="B10" s="1" cm="1">
        <f t="array" ref="B10:P10">[1]Sheet!$B8:$P8</f>
        <v>113.12291454545453</v>
      </c>
      <c r="C10" s="1">
        <v>126.08958727272727</v>
      </c>
      <c r="D10" s="1">
        <v>174.68745636363636</v>
      </c>
      <c r="E10" s="1">
        <v>220.27549090909093</v>
      </c>
      <c r="F10" s="1">
        <v>228.07821272727276</v>
      </c>
      <c r="G10" s="1">
        <v>233.64330181818181</v>
      </c>
      <c r="H10" s="1">
        <v>239.20806636363636</v>
      </c>
      <c r="I10" s="1">
        <v>244.77369636363636</v>
      </c>
      <c r="J10" s="1">
        <v>250.33878545454544</v>
      </c>
      <c r="K10" s="1">
        <v>255.90355000000002</v>
      </c>
      <c r="L10" s="1">
        <v>261.46863909090911</v>
      </c>
      <c r="M10">
        <v>267.03394454545457</v>
      </c>
      <c r="N10">
        <v>272.59935818181822</v>
      </c>
      <c r="O10">
        <v>278.16412272727274</v>
      </c>
      <c r="P10">
        <v>283.7292118181818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cm="1">
        <f t="array" ref="Q11:AK11">[1]Sheet!$Q$8:$AK$8</f>
        <v>289.29451727272726</v>
      </c>
      <c r="R11" s="1">
        <v>294.85928181818184</v>
      </c>
      <c r="S11" s="1">
        <v>300.42469545454549</v>
      </c>
      <c r="T11" s="1">
        <v>305.9897845454546</v>
      </c>
      <c r="U11" s="1">
        <v>311.55476545454547</v>
      </c>
      <c r="V11" s="1">
        <v>317.11985454545453</v>
      </c>
      <c r="W11" s="1">
        <v>322.68526818181817</v>
      </c>
      <c r="X11" s="1">
        <v>328.25035727272729</v>
      </c>
      <c r="Y11" s="1">
        <v>333.81512181818181</v>
      </c>
      <c r="Z11" s="1">
        <v>339.38042727272722</v>
      </c>
      <c r="AA11" s="1">
        <v>344.94551636363633</v>
      </c>
      <c r="AB11" s="1">
        <v>350.5106054545455</v>
      </c>
      <c r="AC11" s="1">
        <v>356.07569454545455</v>
      </c>
      <c r="AD11" s="1">
        <v>361.64100000000008</v>
      </c>
      <c r="AE11" s="1">
        <v>367.20576454545466</v>
      </c>
      <c r="AF11" s="1">
        <v>372.7708536363636</v>
      </c>
      <c r="AG11" s="1">
        <v>378.3362672727273</v>
      </c>
      <c r="AH11" s="1">
        <v>383.90157272727271</v>
      </c>
      <c r="AI11" s="1">
        <v>389.46633727272734</v>
      </c>
      <c r="AJ11" s="1">
        <v>395.03142636363634</v>
      </c>
      <c r="AK11" s="1">
        <v>400.59651545454545</v>
      </c>
    </row>
    <row r="12" spans="1:37" x14ac:dyDescent="0.2"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">
      <c r="M13" s="1"/>
    </row>
    <row r="14" spans="1:37" x14ac:dyDescent="0.2">
      <c r="B14" s="1"/>
      <c r="M14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2024-12-03T06:18:08Z</dcterms:created>
  <dcterms:modified xsi:type="dcterms:W3CDTF">2026-03-23T20:28:16Z</dcterms:modified>
</cp:coreProperties>
</file>