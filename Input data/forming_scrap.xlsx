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4A559C05-66D2-EB43-82DE-2AAB8E026DD6}" xr6:coauthVersionLast="47" xr6:coauthVersionMax="47" xr10:uidLastSave="{00000000-0000-0000-0000-000000000000}"/>
  <bookViews>
    <workbookView xWindow="0" yWindow="13780" windowWidth="25600" windowHeight="13220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<sst xmlns="http://schemas.openxmlformats.org/spreadsheetml/2006/main" count="1" uniqueCount="1">
  <si>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Alloy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</si>
</sst>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/>
    </xf>
    <xf numFmtId="0" fontId="0" fillId="0" borderId="0" xfId="0" applyAlignment="1">
      <alignment horizontal="righ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domestic_ABS_demand.xlsx" TargetMode="External"/><Relationship Id="rId1" Type="http://schemas.openxmlformats.org/officeDocument/2006/relationships/externalLinkPath" Target="domestic_ABS_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  <cell r="B2">
            <v>88.161894531229237</v>
          </cell>
          <cell r="C2">
            <v>128.22614784844851</v>
          </cell>
          <cell r="D2">
            <v>106.55636967096611</v>
          </cell>
          <cell r="E2">
            <v>110.25311093434624</v>
          </cell>
          <cell r="F2">
            <v>134.57843252601705</v>
          </cell>
          <cell r="G2">
            <v>80.891338088972375</v>
          </cell>
          <cell r="H2">
            <v>82.933414569401464</v>
          </cell>
          <cell r="I2">
            <v>84.975061504376015</v>
          </cell>
          <cell r="J2">
            <v>87.016981393896032</v>
          </cell>
          <cell r="K2">
            <v>89.059057874325134</v>
          </cell>
          <cell r="L2">
            <v>91.100977763845137</v>
          </cell>
          <cell r="M2">
            <v>93.142781289728759</v>
          </cell>
          <cell r="N2">
            <v>95.184544588339648</v>
          </cell>
          <cell r="O2">
            <v>97.226621068768736</v>
          </cell>
          <cell r="P2">
            <v>99.268540958288725</v>
          </cell>
          <cell r="Q2">
            <v>101.3103444841723</v>
          </cell>
          <cell r="R2">
            <v>103.35242096460142</v>
          </cell>
          <cell r="S2">
            <v>105.39418426321231</v>
          </cell>
          <cell r="T2">
            <v>107.4361041527323</v>
          </cell>
          <cell r="U2">
            <v>109.47806426952495</v>
          </cell>
          <cell r="V2">
            <v>111.51998415904494</v>
          </cell>
          <cell r="W2">
            <v>113.56174745765583</v>
          </cell>
          <cell r="X2">
            <v>115.60366734717581</v>
          </cell>
          <cell r="Y2">
            <v>117.64574382760493</v>
          </cell>
          <cell r="Z2">
            <v>119.68754735348853</v>
          </cell>
          <cell r="AA2">
            <v>121.72946724300844</v>
          </cell>
          <cell r="AB2">
            <v>123.77138713252849</v>
          </cell>
          <cell r="AC2">
            <v>125.81330702204845</v>
          </cell>
          <cell r="AD2">
            <v>127.85511054793207</v>
          </cell>
          <cell r="AE2">
            <v>129.89718702836112</v>
          </cell>
          <cell r="AF2">
            <v>131.93910691788113</v>
          </cell>
          <cell r="AG2">
            <v>133.98087021649201</v>
          </cell>
          <cell r="AH2">
            <v>136.02267374237564</v>
          </cell>
          <cell r="AI2">
            <v>138.06475022280469</v>
          </cell>
          <cell r="AJ2">
            <v>140.10667011232471</v>
          </cell>
          <cell r="AK2">
            <v>142.14859000184467</v>
          </cell>
        </row>
        <row r="3">
          <cell r="A3" t="str">
            <v>Auto Sheet Ford Low Mg</v>
          </cell>
          <cell r="B3">
            <v>37.430376136363634</v>
          </cell>
          <cell r="C3">
            <v>41.720819318181817</v>
          </cell>
          <cell r="D3">
            <v>57.800996590909094</v>
          </cell>
          <cell r="E3">
            <v>71.987261363636364</v>
          </cell>
          <cell r="F3">
            <v>74.165521363636358</v>
          </cell>
          <cell r="G3">
            <v>75.975152500000007</v>
          </cell>
          <cell r="H3">
            <v>77.784688636363654</v>
          </cell>
          <cell r="I3">
            <v>79.594486363636364</v>
          </cell>
          <cell r="J3">
            <v>81.404117499999998</v>
          </cell>
          <cell r="K3">
            <v>83.213653636363631</v>
          </cell>
          <cell r="L3">
            <v>85.023284772727266</v>
          </cell>
          <cell r="M3">
            <v>86.832987500000016</v>
          </cell>
          <cell r="N3">
            <v>88.642713636363638</v>
          </cell>
          <cell r="O3">
            <v>90.452249772727271</v>
          </cell>
          <cell r="P3">
            <v>92.261880909090891</v>
          </cell>
          <cell r="Q3">
            <v>94.071583636363656</v>
          </cell>
          <cell r="R3">
            <v>95.881119772727274</v>
          </cell>
          <cell r="S3">
            <v>97.690845909090896</v>
          </cell>
          <cell r="T3">
            <v>99.500477045454531</v>
          </cell>
          <cell r="U3">
            <v>101.31008477272728</v>
          </cell>
          <cell r="V3">
            <v>103.11971590909091</v>
          </cell>
          <cell r="W3">
            <v>104.92944204545454</v>
          </cell>
          <cell r="X3">
            <v>106.73907318181817</v>
          </cell>
          <cell r="Y3">
            <v>108.54860931818182</v>
          </cell>
          <cell r="Z3">
            <v>110.35831204545454</v>
          </cell>
          <cell r="AA3">
            <v>112.16794318181819</v>
          </cell>
          <cell r="AB3">
            <v>113.97757431818181</v>
          </cell>
          <cell r="AC3">
            <v>115.78720545454544</v>
          </cell>
          <cell r="AD3">
            <v>117.59690818181818</v>
          </cell>
          <cell r="AE3">
            <v>119.40644431818181</v>
          </cell>
          <cell r="AF3">
            <v>121.21607545454545</v>
          </cell>
          <cell r="AG3">
            <v>123.0258015909091</v>
          </cell>
          <cell r="AH3">
            <v>124.83550431818183</v>
          </cell>
          <cell r="AI3">
            <v>126.64504045454545</v>
          </cell>
          <cell r="AJ3">
            <v>128.45467159090907</v>
          </cell>
          <cell r="AK3">
            <v>130.26430272727271</v>
          </cell>
        </row>
        <row r="4">
          <cell r="A4" t="str">
            <v>Auto Sheet Ford High Mg</v>
          </cell>
          <cell r="B4">
            <v>23.408838409090912</v>
          </cell>
          <cell r="C4">
            <v>26.092067954545453</v>
          </cell>
          <cell r="D4">
            <v>36.148559772727268</v>
          </cell>
          <cell r="E4">
            <v>45.178525</v>
          </cell>
          <cell r="F4">
            <v>46.611763636363627</v>
          </cell>
          <cell r="G4">
            <v>47.74908613636363</v>
          </cell>
          <cell r="H4">
            <v>48.886347045454549</v>
          </cell>
          <cell r="I4">
            <v>50.023775909090901</v>
          </cell>
          <cell r="J4">
            <v>51.161098409090897</v>
          </cell>
          <cell r="K4">
            <v>52.298359318181816</v>
          </cell>
          <cell r="L4">
            <v>53.43568181818182</v>
          </cell>
          <cell r="M4">
            <v>54.57304909090908</v>
          </cell>
          <cell r="N4">
            <v>55.710433181818182</v>
          </cell>
          <cell r="O4">
            <v>56.847694090909087</v>
          </cell>
          <cell r="P4">
            <v>57.985016590909083</v>
          </cell>
          <cell r="Q4">
            <v>59.122383863636372</v>
          </cell>
          <cell r="R4">
            <v>60.259644772727277</v>
          </cell>
          <cell r="S4">
            <v>61.397028863636365</v>
          </cell>
          <cell r="T4">
            <v>62.534351363636361</v>
          </cell>
          <cell r="U4">
            <v>63.671657045454545</v>
          </cell>
          <cell r="V4">
            <v>64.808979545454548</v>
          </cell>
          <cell r="W4">
            <v>65.946363636363643</v>
          </cell>
          <cell r="X4">
            <v>67.083686136363639</v>
          </cell>
          <cell r="Y4">
            <v>68.220947045454537</v>
          </cell>
          <cell r="Z4">
            <v>69.358314318181826</v>
          </cell>
          <cell r="AA4">
            <v>70.495636818181822</v>
          </cell>
          <cell r="AB4">
            <v>71.632959318181818</v>
          </cell>
          <cell r="AC4">
            <v>72.770281818181815</v>
          </cell>
          <cell r="AD4">
            <v>73.907649090909089</v>
          </cell>
          <cell r="AE4">
            <v>75.044909999999987</v>
          </cell>
          <cell r="AF4">
            <v>76.182232499999998</v>
          </cell>
          <cell r="AG4">
            <v>77.319616590909092</v>
          </cell>
          <cell r="AH4">
            <v>78.456983863636367</v>
          </cell>
          <cell r="AI4">
            <v>79.594244772727265</v>
          </cell>
          <cell r="AJ4">
            <v>80.731567272727261</v>
          </cell>
          <cell r="AK4">
            <v>81.868889772727272</v>
          </cell>
        </row>
        <row r="5">
          <cell r="A5" t="str">
            <v>Auto Sheet 6xxx 6005C</v>
          </cell>
          <cell r="B5">
            <v>84.284104526582624</v>
          </cell>
          <cell r="C5">
            <v>133.32595109640027</v>
          </cell>
          <cell r="D5">
            <v>91.263445933440551</v>
          </cell>
          <cell r="E5">
            <v>87.738731147202316</v>
          </cell>
          <cell r="F5">
            <v>119.49027390208691</v>
          </cell>
          <cell r="G5">
            <v>47.517599786751255</v>
          </cell>
          <cell r="H5">
            <v>48.801069486797488</v>
          </cell>
          <cell r="I5">
            <v>50.083852823207373</v>
          </cell>
          <cell r="J5">
            <v>51.367086045980898</v>
          </cell>
          <cell r="K5">
            <v>52.650555746027067</v>
          </cell>
          <cell r="L5">
            <v>53.933788968800556</v>
          </cell>
          <cell r="M5">
            <v>55.216808782483184</v>
          </cell>
          <cell r="N5">
            <v>56.499805527983938</v>
          </cell>
          <cell r="O5">
            <v>57.783275228030107</v>
          </cell>
          <cell r="P5">
            <v>59.066508450803532</v>
          </cell>
          <cell r="Q5">
            <v>60.34952826448616</v>
          </cell>
          <cell r="R5">
            <v>61.632997964532294</v>
          </cell>
          <cell r="S5">
            <v>62.915994710033083</v>
          </cell>
          <cell r="T5">
            <v>64.199227932806508</v>
          </cell>
          <cell r="U5">
            <v>65.482484223761816</v>
          </cell>
          <cell r="V5">
            <v>66.765717446535234</v>
          </cell>
          <cell r="W5">
            <v>68.048714192036002</v>
          </cell>
          <cell r="X5">
            <v>69.331947414809491</v>
          </cell>
          <cell r="Y5">
            <v>70.61541711485566</v>
          </cell>
          <cell r="Z5">
            <v>71.898436928538246</v>
          </cell>
          <cell r="AA5">
            <v>73.181670151311678</v>
          </cell>
          <cell r="AB5">
            <v>74.464903374085111</v>
          </cell>
          <cell r="AC5">
            <v>75.7481365968586</v>
          </cell>
          <cell r="AD5">
            <v>77.031156410541186</v>
          </cell>
          <cell r="AE5">
            <v>78.314626110587355</v>
          </cell>
          <cell r="AF5">
            <v>79.597859333360859</v>
          </cell>
          <cell r="AG5">
            <v>80.880856078861541</v>
          </cell>
          <cell r="AH5">
            <v>82.163875892544198</v>
          </cell>
          <cell r="AI5">
            <v>83.44734559259031</v>
          </cell>
          <cell r="AJ5">
            <v>84.730578815363856</v>
          </cell>
          <cell r="AK5">
            <v>86.013812038137232</v>
          </cell>
        </row>
        <row r="6">
          <cell r="A6" t="str">
            <v>Auto Sheet 6xxx 6016</v>
          </cell>
          <cell r="B6">
            <v>84.284104526582624</v>
          </cell>
          <cell r="C6">
            <v>133.32595109640027</v>
          </cell>
          <cell r="D6">
            <v>91.263445933440551</v>
          </cell>
          <cell r="E6">
            <v>87.738731147202316</v>
          </cell>
          <cell r="F6">
            <v>119.49027390208691</v>
          </cell>
          <cell r="G6">
            <v>47.517599786751255</v>
          </cell>
          <cell r="H6">
            <v>48.801069486797488</v>
          </cell>
          <cell r="I6">
            <v>50.083852823207373</v>
          </cell>
          <cell r="J6">
            <v>51.367086045980898</v>
          </cell>
          <cell r="K6">
            <v>52.650555746027067</v>
          </cell>
          <cell r="L6">
            <v>53.933788968800556</v>
          </cell>
          <cell r="M6">
            <v>55.216808782483184</v>
          </cell>
          <cell r="N6">
            <v>56.499805527983938</v>
          </cell>
          <cell r="O6">
            <v>57.783275228030107</v>
          </cell>
          <cell r="P6">
            <v>59.066508450803532</v>
          </cell>
          <cell r="Q6">
            <v>60.34952826448616</v>
          </cell>
          <cell r="R6">
            <v>61.632997964532294</v>
          </cell>
          <cell r="S6">
            <v>62.915994710033083</v>
          </cell>
          <cell r="T6">
            <v>64.199227932806508</v>
          </cell>
          <cell r="U6">
            <v>65.482484223761816</v>
          </cell>
          <cell r="V6">
            <v>66.765717446535234</v>
          </cell>
          <cell r="W6">
            <v>68.048714192036002</v>
          </cell>
          <cell r="X6">
            <v>69.331947414809491</v>
          </cell>
          <cell r="Y6">
            <v>70.61541711485566</v>
          </cell>
          <cell r="Z6">
            <v>71.898436928538246</v>
          </cell>
          <cell r="AA6">
            <v>73.181670151311678</v>
          </cell>
          <cell r="AB6">
            <v>74.464903374085111</v>
          </cell>
          <cell r="AC6">
            <v>75.7481365968586</v>
          </cell>
          <cell r="AD6">
            <v>77.031156410541186</v>
          </cell>
          <cell r="AE6">
            <v>78.314626110587355</v>
          </cell>
          <cell r="AF6">
            <v>79.597859333360859</v>
          </cell>
          <cell r="AG6">
            <v>80.880856078861541</v>
          </cell>
          <cell r="AH6">
            <v>82.163875892544198</v>
          </cell>
          <cell r="AI6">
            <v>83.44734559259031</v>
          </cell>
          <cell r="AJ6">
            <v>84.730578815363856</v>
          </cell>
          <cell r="AK6">
            <v>86.013812038137232</v>
          </cell>
        </row>
        <row r="7">
          <cell r="A7" t="str">
            <v>Auto Sheet Ford Low Cu</v>
          </cell>
          <cell r="B7">
            <v>110.03342318181818</v>
          </cell>
          <cell r="C7">
            <v>122.64596409090909</v>
          </cell>
          <cell r="D7">
            <v>169.91658045454543</v>
          </cell>
          <cell r="E7">
            <v>202.13229090909093</v>
          </cell>
          <cell r="F7">
            <v>204.27250227272728</v>
          </cell>
          <cell r="G7">
            <v>209.25671636363634</v>
          </cell>
          <cell r="H7">
            <v>214.24078204545455</v>
          </cell>
          <cell r="I7">
            <v>219.22535499999998</v>
          </cell>
          <cell r="J7">
            <v>224.20956909090907</v>
          </cell>
          <cell r="K7">
            <v>229.19363477272725</v>
          </cell>
          <cell r="L7">
            <v>234.17784886363634</v>
          </cell>
          <cell r="M7">
            <v>239.16227340909089</v>
          </cell>
          <cell r="N7">
            <v>244.14663590909092</v>
          </cell>
          <cell r="O7">
            <v>249.1307015909091</v>
          </cell>
          <cell r="P7">
            <v>254.11491568181816</v>
          </cell>
          <cell r="Q7">
            <v>259.09934022727271</v>
          </cell>
          <cell r="R7">
            <v>264.08340590909091</v>
          </cell>
          <cell r="S7">
            <v>269.06776840909089</v>
          </cell>
          <cell r="T7">
            <v>274.05198249999995</v>
          </cell>
          <cell r="U7">
            <v>279.03625863636364</v>
          </cell>
          <cell r="V7">
            <v>284.0204727272727</v>
          </cell>
          <cell r="W7">
            <v>289.00483522727274</v>
          </cell>
          <cell r="X7">
            <v>293.9890493181818</v>
          </cell>
          <cell r="Y7">
            <v>298.97311500000001</v>
          </cell>
          <cell r="Z7">
            <v>303.95753954545449</v>
          </cell>
          <cell r="AA7">
            <v>308.94175363636361</v>
          </cell>
          <cell r="AB7">
            <v>313.92596772727273</v>
          </cell>
          <cell r="AC7">
            <v>318.9101818181818</v>
          </cell>
          <cell r="AD7">
            <v>323.89460636363629</v>
          </cell>
          <cell r="AE7">
            <v>328.87867204545449</v>
          </cell>
          <cell r="AF7">
            <v>333.86288613636361</v>
          </cell>
          <cell r="AG7">
            <v>338.84724863636353</v>
          </cell>
          <cell r="AH7">
            <v>343.83167318181813</v>
          </cell>
          <cell r="AI7">
            <v>348.81573886363628</v>
          </cell>
          <cell r="AJ7">
            <v>353.79995295454535</v>
          </cell>
          <cell r="AK7">
            <v>358.78416704545458</v>
          </cell>
        </row>
        <row r="8">
          <cell r="A8" t="str">
            <v>Auto Sheet Ford High Cu</v>
          </cell>
          <cell r="B8">
            <v>113.12291454545453</v>
          </cell>
          <cell r="C8">
            <v>126.08958727272727</v>
          </cell>
          <cell r="D8">
            <v>174.68745636363636</v>
          </cell>
          <cell r="E8">
            <v>220.27549090909093</v>
          </cell>
          <cell r="F8">
            <v>228.07821272727276</v>
          </cell>
          <cell r="G8">
            <v>233.64330181818181</v>
          </cell>
          <cell r="H8">
            <v>239.20806636363636</v>
          </cell>
          <cell r="I8">
            <v>244.77369636363636</v>
          </cell>
          <cell r="J8">
            <v>250.33878545454544</v>
          </cell>
          <cell r="K8">
            <v>255.90355000000002</v>
          </cell>
          <cell r="L8">
            <v>261.46863909090911</v>
          </cell>
          <cell r="M8">
            <v>267.03394454545457</v>
          </cell>
          <cell r="N8">
            <v>272.59935818181822</v>
          </cell>
          <cell r="O8">
            <v>278.16412272727274</v>
          </cell>
          <cell r="P8">
            <v>283.7292118181818</v>
          </cell>
          <cell r="Q8">
            <v>289.29451727272726</v>
          </cell>
          <cell r="R8">
            <v>294.85928181818184</v>
          </cell>
          <cell r="S8">
            <v>300.42469545454549</v>
          </cell>
          <cell r="T8">
            <v>305.9897845454546</v>
          </cell>
          <cell r="U8">
            <v>311.55476545454547</v>
          </cell>
          <cell r="V8">
            <v>317.11985454545453</v>
          </cell>
          <cell r="W8">
            <v>322.68526818181817</v>
          </cell>
          <cell r="X8">
            <v>328.25035727272729</v>
          </cell>
          <cell r="Y8">
            <v>333.81512181818181</v>
          </cell>
          <cell r="Z8">
            <v>339.38042727272722</v>
          </cell>
          <cell r="AA8">
            <v>344.94551636363633</v>
          </cell>
          <cell r="AB8">
            <v>350.5106054545455</v>
          </cell>
          <cell r="AC8">
            <v>356.07569454545455</v>
          </cell>
          <cell r="AD8">
            <v>361.64100000000008</v>
          </cell>
          <cell r="AE8">
            <v>367.20576454545466</v>
          </cell>
          <cell r="AF8">
            <v>372.7708536363636</v>
          </cell>
          <cell r="AG8">
            <v>378.3362672727273</v>
          </cell>
          <cell r="AH8">
            <v>383.90157272727271</v>
          </cell>
          <cell r="AI8">
            <v>389.46633727272734</v>
          </cell>
          <cell r="AJ8">
            <v>395.03142636363634</v>
          </cell>
          <cell r="AK8">
            <v>400.59651545454545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6"/>
  <sheetViews>
    <sheetView tabSelected="1" topLeftCell="H1" workbookViewId="0">
      <selection activeCell="B2" sqref="B2"/>
    </sheetView>
  </sheetViews>
  <sheetFormatPr baseColWidth="10" defaultColWidth="8.83203125" defaultRowHeight="15" x14ac:dyDescent="0.2"/>
  <cols>
    <col min="1" max="1" width="20.5" bestFit="1" customWidth="1"/>
    <col min="2" max="37" width="12.1640625" bestFit="1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2" t="str" cm="1">
        <f t="array" ref="A2:A8">[1]Sheet!$A$2:$A$8</f>
        <v>Auto Sheet 5xxx</v>
      </c>
      <c r="B2" s="3" cm="1">
        <f t="array" ref="B2:AK8">([1]Sheet!$B$2:$AK$8 * (1-0.66)) * 0.91</f>
        <v>27.277290167962324</v>
      </c>
      <c r="C2" s="4">
        <v>39.673170144309964</v>
      </c>
      <c r="D2" s="4">
        <v>32.96854077619691</v>
      </c>
      <c r="E2" s="4">
        <v>34.112312523086722</v>
      </c>
      <c r="F2" s="4">
        <v>41.638567023549676</v>
      </c>
      <c r="G2" s="3">
        <v>25.027780004728051</v>
      </c>
      <c r="H2">
        <v>25.65959846777281</v>
      </c>
      <c r="I2">
        <v>26.291284029453937</v>
      </c>
      <c r="J2">
        <v>26.923054043271431</v>
      </c>
      <c r="K2">
        <v>27.554872506316194</v>
      </c>
      <c r="L2">
        <v>28.186642520133685</v>
      </c>
      <c r="M2">
        <v>28.818376531042077</v>
      </c>
      <c r="N2">
        <v>29.450098095632288</v>
      </c>
      <c r="O2">
        <v>30.081916558677044</v>
      </c>
      <c r="P2">
        <v>30.713686572494531</v>
      </c>
      <c r="Q2">
        <v>31.345420583402912</v>
      </c>
      <c r="R2">
        <v>31.977239046447682</v>
      </c>
      <c r="S2">
        <v>32.608960611037887</v>
      </c>
      <c r="T2">
        <v>33.240730624855374</v>
      </c>
      <c r="U2">
        <v>33.87251308499102</v>
      </c>
      <c r="V2">
        <v>34.504283098808507</v>
      </c>
      <c r="W2">
        <v>35.136004663398715</v>
      </c>
      <c r="X2">
        <v>35.767774677216195</v>
      </c>
      <c r="Y2">
        <v>36.399593140260961</v>
      </c>
      <c r="Z2">
        <v>37.03132715116935</v>
      </c>
      <c r="AA2">
        <v>37.663097164986809</v>
      </c>
      <c r="AB2">
        <v>38.29486717880431</v>
      </c>
      <c r="AC2">
        <v>38.926637192621783</v>
      </c>
      <c r="AD2">
        <v>39.558371203530179</v>
      </c>
      <c r="AE2">
        <v>40.190189666574931</v>
      </c>
      <c r="AF2">
        <v>40.821959680392418</v>
      </c>
      <c r="AG2">
        <v>41.453681244982619</v>
      </c>
      <c r="AH2">
        <v>42.085415255891022</v>
      </c>
      <c r="AI2">
        <v>42.717233718935766</v>
      </c>
      <c r="AJ2">
        <v>43.349003732753268</v>
      </c>
      <c r="AK2">
        <v>43.980773746570733</v>
      </c>
    </row>
    <row r="3" spans="1:37" x14ac:dyDescent="0.2">
      <c r="A3" s="2" t="str">
        <v>Auto Sheet Ford Low Mg</v>
      </c>
      <c r="B3" s="4">
        <v>11.580958376590909</v>
      </c>
      <c r="C3" s="4">
        <v>12.908421497045454</v>
      </c>
      <c r="D3" s="4">
        <v>17.883628345227272</v>
      </c>
      <c r="E3" s="4">
        <v>22.272858665909091</v>
      </c>
      <c r="F3" s="4">
        <v>22.946812309909088</v>
      </c>
      <c r="G3" s="3">
        <v>23.506712183499999</v>
      </c>
      <c r="H3">
        <v>24.066582664090912</v>
      </c>
      <c r="I3">
        <v>24.626534080909089</v>
      </c>
      <c r="J3">
        <v>25.1864339545</v>
      </c>
      <c r="K3">
        <v>25.746304435090906</v>
      </c>
      <c r="L3">
        <v>26.306204308681814</v>
      </c>
      <c r="M3">
        <v>26.866126332500002</v>
      </c>
      <c r="N3">
        <v>27.426055599090908</v>
      </c>
      <c r="O3">
        <v>27.985926079681818</v>
      </c>
      <c r="P3">
        <v>28.545825953272718</v>
      </c>
      <c r="Q3">
        <v>29.105747977090914</v>
      </c>
      <c r="R3">
        <v>29.665618457681816</v>
      </c>
      <c r="S3">
        <v>30.225547724272722</v>
      </c>
      <c r="T3">
        <v>30.785447597863627</v>
      </c>
      <c r="U3">
        <v>31.34534022868182</v>
      </c>
      <c r="V3">
        <v>31.905240102272725</v>
      </c>
      <c r="W3">
        <v>32.465169368863634</v>
      </c>
      <c r="X3">
        <v>33.025069242454535</v>
      </c>
      <c r="Y3">
        <v>33.584939723045458</v>
      </c>
      <c r="Z3">
        <v>34.144861746863633</v>
      </c>
      <c r="AA3">
        <v>34.704761620454548</v>
      </c>
      <c r="AB3">
        <v>35.264661494045448</v>
      </c>
      <c r="AC3">
        <v>35.824561367636356</v>
      </c>
      <c r="AD3">
        <v>36.384483391454545</v>
      </c>
      <c r="AE3">
        <v>36.944353872045447</v>
      </c>
      <c r="AF3">
        <v>37.504253745636355</v>
      </c>
      <c r="AG3">
        <v>38.064183012227275</v>
      </c>
      <c r="AH3">
        <v>38.624105036045457</v>
      </c>
      <c r="AI3">
        <v>39.183975516636359</v>
      </c>
      <c r="AJ3">
        <v>39.743875390227267</v>
      </c>
      <c r="AK3">
        <v>40.303775263818174</v>
      </c>
    </row>
    <row r="4" spans="1:37" x14ac:dyDescent="0.2">
      <c r="A4" s="2" t="str">
        <v>Auto Sheet Ford High Mg</v>
      </c>
      <c r="B4" s="4">
        <v>7.242694603772728</v>
      </c>
      <c r="C4" s="4">
        <v>8.0728858251363622</v>
      </c>
      <c r="D4" s="4">
        <v>11.184364393681816</v>
      </c>
      <c r="E4" s="4">
        <v>13.978235634999999</v>
      </c>
      <c r="F4" s="4">
        <v>14.421679669090905</v>
      </c>
      <c r="G4" s="3">
        <v>14.773567250590906</v>
      </c>
      <c r="H4">
        <v>15.125435775863636</v>
      </c>
      <c r="I4">
        <v>15.477356266272725</v>
      </c>
      <c r="J4">
        <v>15.829243847772721</v>
      </c>
      <c r="K4">
        <v>16.181112373045451</v>
      </c>
      <c r="L4">
        <v>16.532999954545453</v>
      </c>
      <c r="M4">
        <v>16.884901388727268</v>
      </c>
      <c r="N4">
        <v>17.236808026454547</v>
      </c>
      <c r="O4">
        <v>17.588676551727268</v>
      </c>
      <c r="P4">
        <v>17.940564133227269</v>
      </c>
      <c r="Q4">
        <v>18.292465567409096</v>
      </c>
      <c r="R4">
        <v>18.644334092681817</v>
      </c>
      <c r="S4">
        <v>18.996240730409088</v>
      </c>
      <c r="T4">
        <v>19.34812831190909</v>
      </c>
      <c r="U4">
        <v>19.700010689863635</v>
      </c>
      <c r="V4">
        <v>20.051898271363633</v>
      </c>
      <c r="W4">
        <v>20.403804909090908</v>
      </c>
      <c r="X4">
        <v>20.755692490590906</v>
      </c>
      <c r="Y4">
        <v>21.107561015863631</v>
      </c>
      <c r="Z4">
        <v>21.459462450045454</v>
      </c>
      <c r="AA4">
        <v>21.811350031545455</v>
      </c>
      <c r="AB4">
        <v>22.163237613045453</v>
      </c>
      <c r="AC4">
        <v>22.515125194545451</v>
      </c>
      <c r="AD4">
        <v>22.86702662872727</v>
      </c>
      <c r="AE4">
        <v>23.218895153999995</v>
      </c>
      <c r="AF4">
        <v>23.5707827355</v>
      </c>
      <c r="AG4">
        <v>23.922689373227271</v>
      </c>
      <c r="AH4">
        <v>24.274590807409091</v>
      </c>
      <c r="AI4">
        <v>24.626459332681815</v>
      </c>
      <c r="AJ4">
        <v>24.978346914181813</v>
      </c>
      <c r="AK4">
        <v>25.330234495681818</v>
      </c>
    </row>
    <row r="5" spans="1:37" x14ac:dyDescent="0.2">
      <c r="A5" s="2" t="str">
        <v>Auto Sheet 6xxx 6005C</v>
      </c>
      <c r="B5" s="4">
        <v>26.077501940524662</v>
      </c>
      <c r="C5" s="4">
        <v>41.251049269226243</v>
      </c>
      <c r="D5" s="4">
        <v>28.236910171806503</v>
      </c>
      <c r="E5" s="4">
        <v>27.146363416944393</v>
      </c>
      <c r="F5" s="4">
        <v>36.970290745305689</v>
      </c>
      <c r="G5" s="3">
        <v>14.701945374020836</v>
      </c>
      <c r="H5">
        <v>15.099050899215142</v>
      </c>
      <c r="I5">
        <v>15.495944063500362</v>
      </c>
      <c r="J5">
        <v>15.892976422626489</v>
      </c>
      <c r="K5">
        <v>16.290081947820774</v>
      </c>
      <c r="L5">
        <v>16.687114306946892</v>
      </c>
      <c r="M5">
        <v>17.084080637300296</v>
      </c>
      <c r="N5">
        <v>17.481039830358231</v>
      </c>
      <c r="O5">
        <v>17.878145355552512</v>
      </c>
      <c r="P5">
        <v>18.275177714678613</v>
      </c>
      <c r="Q5">
        <v>18.672144045032017</v>
      </c>
      <c r="R5">
        <v>19.06924957022629</v>
      </c>
      <c r="S5">
        <v>19.466208763284236</v>
      </c>
      <c r="T5">
        <v>19.863241122410333</v>
      </c>
      <c r="U5">
        <v>20.260280618831903</v>
      </c>
      <c r="V5">
        <v>20.657312977958</v>
      </c>
      <c r="W5">
        <v>21.054272171015938</v>
      </c>
      <c r="X5">
        <v>21.451304530142057</v>
      </c>
      <c r="Y5">
        <v>21.848410055336338</v>
      </c>
      <c r="Z5">
        <v>22.245376385689731</v>
      </c>
      <c r="AA5">
        <v>22.642408744815832</v>
      </c>
      <c r="AB5">
        <v>23.039441103941932</v>
      </c>
      <c r="AC5">
        <v>23.436473463068051</v>
      </c>
      <c r="AD5">
        <v>23.833439793421444</v>
      </c>
      <c r="AE5">
        <v>24.230545318615725</v>
      </c>
      <c r="AF5">
        <v>24.627577677741847</v>
      </c>
      <c r="AG5">
        <v>25.024536870799761</v>
      </c>
      <c r="AH5">
        <v>25.421503201153172</v>
      </c>
      <c r="AI5">
        <v>25.818608726347438</v>
      </c>
      <c r="AJ5">
        <v>26.215641085473575</v>
      </c>
      <c r="AK5">
        <v>26.612673444599658</v>
      </c>
    </row>
    <row r="6" spans="1:37" x14ac:dyDescent="0.2">
      <c r="A6" s="2" t="str">
        <v>Auto Sheet 6xxx 6016</v>
      </c>
      <c r="B6" s="4">
        <v>26.077501940524662</v>
      </c>
      <c r="C6" s="4">
        <v>41.251049269226243</v>
      </c>
      <c r="D6" s="4">
        <v>28.236910171806503</v>
      </c>
      <c r="E6" s="4">
        <v>27.146363416944393</v>
      </c>
      <c r="F6" s="4">
        <v>36.970290745305689</v>
      </c>
      <c r="G6" s="3">
        <v>14.701945374020836</v>
      </c>
      <c r="H6">
        <v>15.099050899215142</v>
      </c>
      <c r="I6">
        <v>15.495944063500362</v>
      </c>
      <c r="J6">
        <v>15.892976422626489</v>
      </c>
      <c r="K6">
        <v>16.290081947820774</v>
      </c>
      <c r="L6">
        <v>16.687114306946892</v>
      </c>
      <c r="M6">
        <v>17.084080637300296</v>
      </c>
      <c r="N6">
        <v>17.481039830358231</v>
      </c>
      <c r="O6">
        <v>17.878145355552512</v>
      </c>
      <c r="P6">
        <v>18.275177714678613</v>
      </c>
      <c r="Q6">
        <v>18.672144045032017</v>
      </c>
      <c r="R6">
        <v>19.06924957022629</v>
      </c>
      <c r="S6">
        <v>19.466208763284236</v>
      </c>
      <c r="T6">
        <v>19.863241122410333</v>
      </c>
      <c r="U6">
        <v>20.260280618831903</v>
      </c>
      <c r="V6">
        <v>20.657312977958</v>
      </c>
      <c r="W6">
        <v>21.054272171015938</v>
      </c>
      <c r="X6">
        <v>21.451304530142057</v>
      </c>
      <c r="Y6">
        <v>21.848410055336338</v>
      </c>
      <c r="Z6">
        <v>22.245376385689731</v>
      </c>
      <c r="AA6">
        <v>22.642408744815832</v>
      </c>
      <c r="AB6">
        <v>23.039441103941932</v>
      </c>
      <c r="AC6">
        <v>23.436473463068051</v>
      </c>
      <c r="AD6">
        <v>23.833439793421444</v>
      </c>
      <c r="AE6">
        <v>24.230545318615725</v>
      </c>
      <c r="AF6">
        <v>24.627577677741847</v>
      </c>
      <c r="AG6">
        <v>25.024536870799761</v>
      </c>
      <c r="AH6">
        <v>25.421503201153172</v>
      </c>
      <c r="AI6">
        <v>25.818608726347438</v>
      </c>
      <c r="AJ6">
        <v>26.215641085473575</v>
      </c>
      <c r="AK6">
        <v>26.612673444599658</v>
      </c>
    </row>
    <row r="7" spans="1:37" x14ac:dyDescent="0.2">
      <c r="A7" s="2" t="str">
        <v>Auto Sheet Ford Low Cu</v>
      </c>
      <c r="B7" s="4">
        <v>34.044341132454541</v>
      </c>
      <c r="C7" s="4">
        <v>37.946661289727267</v>
      </c>
      <c r="D7" s="4">
        <v>52.572189992636353</v>
      </c>
      <c r="E7" s="4">
        <v>62.539730807272726</v>
      </c>
      <c r="F7" s="4">
        <v>63.201912203181813</v>
      </c>
      <c r="G7" s="3">
        <v>64.744028042909079</v>
      </c>
      <c r="H7">
        <v>66.286097964863643</v>
      </c>
      <c r="I7">
        <v>67.828324836999997</v>
      </c>
      <c r="J7">
        <v>69.37044067672727</v>
      </c>
      <c r="K7">
        <v>70.912510598681806</v>
      </c>
      <c r="L7">
        <v>72.454626438409079</v>
      </c>
      <c r="M7">
        <v>73.996807392772709</v>
      </c>
      <c r="N7">
        <v>75.53896915027272</v>
      </c>
      <c r="O7">
        <v>77.08103907222727</v>
      </c>
      <c r="P7">
        <v>78.623154911954529</v>
      </c>
      <c r="Q7">
        <v>80.165335866318173</v>
      </c>
      <c r="R7">
        <v>81.707405788272723</v>
      </c>
      <c r="S7">
        <v>83.24956754577272</v>
      </c>
      <c r="T7">
        <v>84.791683385499979</v>
      </c>
      <c r="U7">
        <v>86.333818422090914</v>
      </c>
      <c r="V7">
        <v>87.875934261818173</v>
      </c>
      <c r="W7">
        <v>89.418096019318185</v>
      </c>
      <c r="X7">
        <v>90.960211859045444</v>
      </c>
      <c r="Y7">
        <v>92.502281780999994</v>
      </c>
      <c r="Z7">
        <v>94.044462735363609</v>
      </c>
      <c r="AA7">
        <v>95.586578575090897</v>
      </c>
      <c r="AB7">
        <v>97.128694414818185</v>
      </c>
      <c r="AC7">
        <v>98.670810254545444</v>
      </c>
      <c r="AD7">
        <v>100.21299120890906</v>
      </c>
      <c r="AE7">
        <v>101.75506113086361</v>
      </c>
      <c r="AF7">
        <v>103.2971769705909</v>
      </c>
      <c r="AG7">
        <v>104.83933872809088</v>
      </c>
      <c r="AH7">
        <v>106.38151968245452</v>
      </c>
      <c r="AI7">
        <v>107.92358960440906</v>
      </c>
      <c r="AJ7">
        <v>109.46570544413633</v>
      </c>
      <c r="AK7">
        <v>111.00782128386365</v>
      </c>
    </row>
    <row r="8" spans="1:37" x14ac:dyDescent="0.2">
      <c r="A8" s="2" t="str">
        <v>Auto Sheet Ford High Cu</v>
      </c>
      <c r="B8" s="4">
        <v>35.000229760363631</v>
      </c>
      <c r="C8" s="4">
        <v>39.012118302181818</v>
      </c>
      <c r="D8" s="4">
        <v>54.04829899890909</v>
      </c>
      <c r="E8" s="4">
        <v>68.153236887272726</v>
      </c>
      <c r="F8" s="4">
        <v>70.56739901781819</v>
      </c>
      <c r="G8" s="3">
        <v>72.289237582545454</v>
      </c>
      <c r="H8">
        <v>74.010975732909074</v>
      </c>
      <c r="I8">
        <v>75.732981654909082</v>
      </c>
      <c r="J8">
        <v>77.45482021963636</v>
      </c>
      <c r="K8">
        <v>79.176558369999995</v>
      </c>
      <c r="L8">
        <v>80.898396934727273</v>
      </c>
      <c r="M8">
        <v>82.620302442363638</v>
      </c>
      <c r="N8">
        <v>84.342241421454546</v>
      </c>
      <c r="O8">
        <v>86.06397957181818</v>
      </c>
      <c r="P8">
        <v>87.785818136545444</v>
      </c>
      <c r="Q8">
        <v>89.507723644181809</v>
      </c>
      <c r="R8">
        <v>91.229461794545458</v>
      </c>
      <c r="S8">
        <v>92.951400773636365</v>
      </c>
      <c r="T8">
        <v>94.673239338363643</v>
      </c>
      <c r="U8">
        <v>96.395044431636364</v>
      </c>
      <c r="V8">
        <v>98.116882996363628</v>
      </c>
      <c r="W8">
        <v>99.838821975454536</v>
      </c>
      <c r="X8">
        <v>101.56066054018181</v>
      </c>
      <c r="Y8">
        <v>103.28239869054543</v>
      </c>
      <c r="Z8">
        <v>105.0043041981818</v>
      </c>
      <c r="AA8">
        <v>106.72614276290906</v>
      </c>
      <c r="AB8">
        <v>108.44798132763637</v>
      </c>
      <c r="AC8">
        <v>110.16981989236363</v>
      </c>
      <c r="AD8">
        <v>111.89172540000001</v>
      </c>
      <c r="AE8">
        <v>113.61346355036366</v>
      </c>
      <c r="AF8">
        <v>115.33530211509088</v>
      </c>
      <c r="AG8">
        <v>117.05724109418182</v>
      </c>
      <c r="AH8">
        <v>118.77914660181818</v>
      </c>
      <c r="AI8">
        <v>120.50088475218183</v>
      </c>
      <c r="AJ8">
        <v>122.22272331690907</v>
      </c>
      <c r="AK8">
        <v>123.94456188163636</v>
      </c>
    </row>
    <row r="9" spans="1:37" x14ac:dyDescent="0.2">
      <c r="A9" s="2"/>
      <c r="B9" s="2"/>
      <c r="C9" s="2"/>
      <c r="D9" s="2"/>
      <c r="E9" s="2"/>
      <c r="F9" s="2"/>
    </row>
    <row r="10" spans="1:37" x14ac:dyDescent="0.2">
      <c r="A10" s="2"/>
      <c r="B10" s="2"/>
      <c r="C10" s="2"/>
      <c r="D10" s="2"/>
      <c r="E10" s="2"/>
      <c r="F10" s="2"/>
    </row>
    <row r="11" spans="1:37" x14ac:dyDescent="0.2">
      <c r="A11" s="2"/>
      <c r="B11" s="2"/>
      <c r="C11" s="2"/>
      <c r="D11" s="2"/>
      <c r="E11" s="2"/>
      <c r="F11" s="2"/>
    </row>
    <row r="12" spans="1:37" x14ac:dyDescent="0.2">
      <c r="A12" s="2"/>
      <c r="B12" s="2"/>
      <c r="C12" s="2"/>
      <c r="D12" s="2"/>
      <c r="E12" s="2"/>
      <c r="F12" s="2"/>
    </row>
    <row r="13" spans="1:37" x14ac:dyDescent="0.2">
      <c r="A13" s="2"/>
      <c r="B13" s="2"/>
      <c r="C13" s="2"/>
      <c r="D13" s="2"/>
      <c r="E13" s="2"/>
      <c r="F13" s="2"/>
    </row>
    <row r="14" spans="1:37" x14ac:dyDescent="0.2">
      <c r="A14" s="2"/>
      <c r="B14" s="2"/>
      <c r="C14" s="2"/>
      <c r="D14" s="2"/>
      <c r="E14" s="2"/>
      <c r="F14" s="2"/>
    </row>
    <row r="15" spans="1:37" x14ac:dyDescent="0.2">
      <c r="A15" s="2"/>
      <c r="B15" s="2"/>
      <c r="C15" s="2"/>
      <c r="D15" s="2"/>
      <c r="E15" s="2"/>
      <c r="F15" s="2"/>
    </row>
    <row r="16" spans="1:37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2"/>
      <c r="B25" s="2"/>
      <c r="C25" s="2"/>
      <c r="D25" s="2"/>
      <c r="E25" s="2"/>
      <c r="F25" s="2"/>
    </row>
    <row r="26" spans="1:6" x14ac:dyDescent="0.2">
      <c r="A26" s="2"/>
      <c r="B26" s="2"/>
      <c r="C26" s="2"/>
      <c r="D26" s="2"/>
      <c r="E26" s="2"/>
      <c r="F26" s="2"/>
    </row>
    <row r="27" spans="1:6" x14ac:dyDescent="0.2">
      <c r="A27" s="2"/>
      <c r="B27" s="2"/>
      <c r="C27" s="2"/>
      <c r="D27" s="2"/>
      <c r="E27" s="2"/>
      <c r="F27" s="2"/>
    </row>
    <row r="28" spans="1:6" x14ac:dyDescent="0.2">
      <c r="A28" s="2"/>
      <c r="B28" s="2"/>
      <c r="C28" s="2"/>
      <c r="D28" s="2"/>
      <c r="E28" s="2"/>
      <c r="F28" s="2"/>
    </row>
    <row r="29" spans="1:6" x14ac:dyDescent="0.2">
      <c r="A29" s="2"/>
      <c r="B29" s="2"/>
      <c r="C29" s="2"/>
      <c r="D29" s="2"/>
      <c r="E29" s="2"/>
      <c r="F29" s="2"/>
    </row>
    <row r="30" spans="1:6" x14ac:dyDescent="0.2">
      <c r="A30" s="2"/>
      <c r="B30" s="2"/>
      <c r="C30" s="2"/>
      <c r="D30" s="2"/>
      <c r="E30" s="2"/>
      <c r="F30" s="2"/>
    </row>
    <row r="31" spans="1:6" x14ac:dyDescent="0.2">
      <c r="A31" s="2"/>
      <c r="B31" s="2"/>
      <c r="C31" s="2"/>
      <c r="D31" s="2"/>
      <c r="E31" s="2"/>
      <c r="F31" s="2"/>
    </row>
    <row r="32" spans="1:6" x14ac:dyDescent="0.2">
      <c r="A32" s="2"/>
      <c r="B32" s="2"/>
      <c r="C32" s="2"/>
      <c r="D32" s="2"/>
      <c r="E32" s="2"/>
      <c r="F32" s="2"/>
    </row>
    <row r="33" spans="1:6" x14ac:dyDescent="0.2">
      <c r="A33" s="2"/>
      <c r="B33" s="2"/>
      <c r="C33" s="2"/>
      <c r="D33" s="2"/>
      <c r="E33" s="2"/>
      <c r="F33" s="2"/>
    </row>
    <row r="34" spans="1:6" x14ac:dyDescent="0.2">
      <c r="A34" s="2"/>
      <c r="B34" s="2"/>
      <c r="C34" s="2"/>
      <c r="D34" s="2"/>
      <c r="E34" s="2"/>
      <c r="F34" s="2"/>
    </row>
    <row r="35" spans="1:6" x14ac:dyDescent="0.2">
      <c r="A35" s="2"/>
      <c r="B35" s="2"/>
      <c r="C35" s="2"/>
      <c r="D35" s="2"/>
      <c r="E35" s="2"/>
      <c r="F35" s="2"/>
    </row>
    <row r="36" spans="1:6" x14ac:dyDescent="0.2">
      <c r="A36" s="2"/>
      <c r="B36" s="2"/>
      <c r="C36" s="2"/>
      <c r="D36" s="2"/>
      <c r="E36" s="2"/>
      <c r="F3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Tsai, Alissa</cp:lastModifiedBy>
  <dcterms:created xsi:type="dcterms:W3CDTF">2025-08-11T15:54:39Z</dcterms:created>
  <dcterms:modified xsi:type="dcterms:W3CDTF">2026-03-23T20:51:27Z</dcterms:modified>
</cp:coreProperties>
</file>