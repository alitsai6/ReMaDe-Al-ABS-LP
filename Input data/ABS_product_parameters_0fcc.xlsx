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9B8947D3-EF04-FC40-9A9E-990E7D4DBC86}" xr6:coauthVersionLast="47" xr6:coauthVersionMax="47" xr10:uidLastSave="{00000000-0000-0000-0000-000000000000}"/>
  <bookViews>
    <workbookView xWindow="-20" yWindow="13800" windowWidth="25600" windowHeight="13220" xr2:uid="{55F30AEA-BCDC-4F4F-83CC-5C571D8D4A26}"/>
  </bookViews>
  <sheets>
    <sheet name="Sheet" sheetId="2" r:id="rId1"/>
    <sheet name="Castings" sheetId="3" r:id="rId2"/>
    <sheet name="Forgings" sheetId="4" r:id="rId3"/>
    <sheet name="Extrusions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 a="1"/>
  <c r="A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<sst xmlns="http://schemas.openxmlformats.org/spreadsheetml/2006/main" count="47" uniqueCount="29">
  <si>
    <t>Alloy</t>
  </si>
  <si>
    <t>Process Yield</t>
  </si>
  <si>
    <t>Furnace Charge Constraint</t>
  </si>
  <si>
    <t>Mix Forming Fraction</t>
  </si>
  <si>
    <t>Mix Fabrication Fraction</t>
  </si>
  <si>
    <t>Mix EOL Fraction</t>
  </si>
  <si>
    <t>Auto Sheet 1xxx</t>
  </si>
  <si>
    <t>Auto Sheet 3xxx</t>
  </si>
  <si>
    <t>Auto Sheet Ford 3004</t>
  </si>
  <si>
    <t>Auto Sheet 4xxx</t>
  </si>
  <si>
    <t>Auto Sheet 7xxx</t>
  </si>
  <si>
    <t>Auto Castings 319</t>
  </si>
  <si>
    <t>Auto Castings A380</t>
  </si>
  <si>
    <t>Auto Castings Ford A380</t>
  </si>
  <si>
    <t>Auto Castings A356</t>
  </si>
  <si>
    <t>Auto Castings Ford A356</t>
  </si>
  <si>
    <t>Auto Forgings 6xxx</t>
  </si>
  <si>
    <t>Auto Extrusion 6xxx</t>
  </si>
  <si>
    <t>Auto Extrusion Ford 6061</t>
  </si>
  <si>
    <t>Auto Extrusion Ford 6082</t>
  </si>
  <si>
    <t>Auto Extrusion 7xxx</t>
  </si>
  <si>
    <t>Auto Sheet HRC 5xxx Alloy 1</t>
  </si>
  <si>
    <t>Auto Sheet HRC 5xxx Alloy 2</t>
  </si>
  <si>
    <t>Auto Sheet HRC 6xxx Alloy 1</t>
  </si>
  <si>
    <t>Auto Sheet HRC 6xxx Alloy 2</t>
  </si>
  <si>
    <t>Auto Sheet Ford HRC 5xxx Alloy 1</t>
  </si>
  <si>
    <t>Auto Sheet Ford HRC 5xxx Alloy 2</t>
  </si>
  <si>
    <t>Auto Sheet Ford HRC 6xxx Alloy 1</t>
  </si>
  <si>
    <t>Auto Sheet Ford HRC 6xxx Alloy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</si>
</sst>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B654-E21A-3E43-BD39-61B82909F192}">
  <dimension ref="A1:F21"/>
  <sheetViews>
    <sheetView tabSelected="1" topLeftCell="A6" zoomScale="117" zoomScaleNormal="117" workbookViewId="0">
      <selection activeCell="D18" sqref="D18:D19"/>
    </sheetView>
  </sheetViews>
  <sheetFormatPr baseColWidth="10" defaultRowHeight="16" x14ac:dyDescent="0.2"/>
  <cols>
    <col min="1" max="1" width="24.33203125" bestFit="1" customWidth="1"/>
    <col min="2" max="2" width="11.83203125" bestFit="1" customWidth="1"/>
    <col min="3" max="3" width="23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0.44</v>
      </c>
      <c r="C2">
        <v>0</v>
      </c>
      <c r="D2">
        <v>1</v>
      </c>
      <c r="E2">
        <v>1</v>
      </c>
      <c r="F2">
        <v>1</v>
      </c>
    </row>
    <row r="3" spans="1:6" x14ac:dyDescent="0.2">
      <c r="A3" t="s">
        <v>7</v>
      </c>
      <c r="B3">
        <v>0.44</v>
      </c>
      <c r="C3">
        <v>0</v>
      </c>
      <c r="D3">
        <v>1</v>
      </c>
      <c r="E3">
        <v>1</v>
      </c>
      <c r="F3">
        <v>1</v>
      </c>
    </row>
    <row r="4" spans="1:6" x14ac:dyDescent="0.2">
      <c r="A4" t="s">
        <v>8</v>
      </c>
      <c r="B4">
        <v>0.44</v>
      </c>
      <c r="C4">
        <v>0</v>
      </c>
      <c r="D4">
        <v>1</v>
      </c>
      <c r="E4">
        <v>1</v>
      </c>
      <c r="F4">
        <v>1</v>
      </c>
    </row>
    <row r="5" spans="1:6" x14ac:dyDescent="0.2">
      <c r="A5" s="1" t="s">
        <v>9</v>
      </c>
      <c r="B5">
        <v>0.44</v>
      </c>
      <c r="C5">
        <v>0</v>
      </c>
      <c r="D5">
        <v>1</v>
      </c>
      <c r="E5">
        <v>1</v>
      </c>
      <c r="F5">
        <v>1</v>
      </c>
    </row>
    <row r="6" spans="1:6" x14ac:dyDescent="0.2">
      <c r="A6" s="1" t="str" cm="1">
        <f t="array" ref="A6:A12">[1]Sheet!$A$2:$A$8</f>
        <v>Auto Sheet 5xxx</v>
      </c>
      <c r="B6">
        <v>0.44</v>
      </c>
      <c r="C6">
        <v>0</v>
      </c>
      <c r="D6">
        <v>1</v>
      </c>
      <c r="E6">
        <v>1</v>
      </c>
      <c r="F6">
        <v>1</v>
      </c>
    </row>
    <row r="7" spans="1:6" x14ac:dyDescent="0.2">
      <c r="A7" s="1" t="str">
        <v>Auto Sheet Ford Low Mg</v>
      </c>
      <c r="B7">
        <v>0.44</v>
      </c>
      <c r="C7">
        <v>0</v>
      </c>
      <c r="D7">
        <v>1</v>
      </c>
      <c r="E7">
        <v>1</v>
      </c>
      <c r="F7">
        <v>1</v>
      </c>
    </row>
    <row r="8" spans="1:6" x14ac:dyDescent="0.2">
      <c r="A8" s="1" t="str">
        <v>Auto Sheet Ford High Mg</v>
      </c>
      <c r="B8">
        <v>0.44</v>
      </c>
      <c r="C8">
        <v>0</v>
      </c>
      <c r="D8">
        <v>1</v>
      </c>
      <c r="E8">
        <v>1</v>
      </c>
      <c r="F8">
        <v>1</v>
      </c>
    </row>
    <row r="9" spans="1:6" x14ac:dyDescent="0.2">
      <c r="A9" s="1" t="str">
        <v>Auto Sheet 6xxx 6005C</v>
      </c>
      <c r="B9">
        <v>0.44</v>
      </c>
      <c r="C9">
        <v>0</v>
      </c>
      <c r="D9">
        <v>1</v>
      </c>
      <c r="E9">
        <v>1</v>
      </c>
      <c r="F9">
        <v>1</v>
      </c>
    </row>
    <row r="10" spans="1:6" x14ac:dyDescent="0.2">
      <c r="A10" s="1" t="str">
        <v>Auto Sheet 6xxx 6016</v>
      </c>
      <c r="B10">
        <v>0.44</v>
      </c>
      <c r="C10">
        <v>0</v>
      </c>
      <c r="D10">
        <v>1</v>
      </c>
      <c r="E10">
        <v>1</v>
      </c>
      <c r="F10">
        <v>1</v>
      </c>
    </row>
    <row r="11" spans="1:6" x14ac:dyDescent="0.2">
      <c r="A11" s="1" t="str">
        <v>Auto Sheet Ford Low Cu</v>
      </c>
      <c r="B11">
        <v>0.44</v>
      </c>
      <c r="C11">
        <v>0</v>
      </c>
      <c r="D11">
        <v>1</v>
      </c>
      <c r="E11">
        <v>1</v>
      </c>
      <c r="F11">
        <v>1</v>
      </c>
    </row>
    <row r="12" spans="1:6" x14ac:dyDescent="0.2">
      <c r="A12" s="1" t="str">
        <v>Auto Sheet Ford High Cu</v>
      </c>
      <c r="B12">
        <v>0.44</v>
      </c>
      <c r="C12">
        <v>0</v>
      </c>
      <c r="D12">
        <v>1</v>
      </c>
      <c r="E12">
        <v>1</v>
      </c>
      <c r="F12">
        <v>1</v>
      </c>
    </row>
    <row r="13" spans="1:6" x14ac:dyDescent="0.2">
      <c r="A13" t="s">
        <v>21</v>
      </c>
      <c r="B13">
        <v>0.44</v>
      </c>
      <c r="C13">
        <v>0</v>
      </c>
      <c r="D13">
        <v>1</v>
      </c>
      <c r="E13">
        <v>1</v>
      </c>
      <c r="F13">
        <v>1</v>
      </c>
    </row>
    <row r="14" spans="1:6" x14ac:dyDescent="0.2">
      <c r="A14" t="s">
        <v>22</v>
      </c>
      <c r="B14">
        <v>0.44</v>
      </c>
      <c r="C14">
        <v>0</v>
      </c>
      <c r="D14">
        <v>1</v>
      </c>
      <c r="E14">
        <v>1</v>
      </c>
      <c r="F14">
        <v>1</v>
      </c>
    </row>
    <row r="15" spans="1:6" x14ac:dyDescent="0.2">
      <c r="A15" t="s">
        <v>23</v>
      </c>
      <c r="B15">
        <v>0.44</v>
      </c>
      <c r="C15">
        <v>0</v>
      </c>
      <c r="D15">
        <v>1</v>
      </c>
      <c r="E15">
        <v>1</v>
      </c>
      <c r="F15">
        <v>1</v>
      </c>
    </row>
    <row r="16" spans="1:6" x14ac:dyDescent="0.2">
      <c r="A16" t="s">
        <v>24</v>
      </c>
      <c r="B16">
        <v>0.44</v>
      </c>
      <c r="C16">
        <v>0</v>
      </c>
      <c r="D16">
        <v>1</v>
      </c>
      <c r="E16">
        <v>1</v>
      </c>
      <c r="F16">
        <v>1</v>
      </c>
    </row>
    <row r="17" spans="1:6" x14ac:dyDescent="0.2">
      <c r="A17" t="s">
        <v>25</v>
      </c>
      <c r="B17">
        <v>0.44</v>
      </c>
      <c r="C17">
        <v>0</v>
      </c>
      <c r="D17">
        <v>1</v>
      </c>
      <c r="E17">
        <v>1</v>
      </c>
      <c r="F17">
        <v>1</v>
      </c>
    </row>
    <row r="18" spans="1:6" x14ac:dyDescent="0.2">
      <c r="A18" t="s">
        <v>26</v>
      </c>
      <c r="B18">
        <v>0.44</v>
      </c>
      <c r="C18">
        <v>0</v>
      </c>
      <c r="D18">
        <v>1</v>
      </c>
      <c r="E18">
        <v>1</v>
      </c>
      <c r="F18">
        <v>1</v>
      </c>
    </row>
    <row r="19" spans="1:6" x14ac:dyDescent="0.2">
      <c r="A19" t="s">
        <v>27</v>
      </c>
      <c r="B19">
        <v>0.44</v>
      </c>
      <c r="C19">
        <v>0</v>
      </c>
      <c r="D19">
        <v>1</v>
      </c>
      <c r="E19">
        <v>1</v>
      </c>
      <c r="F19">
        <v>1</v>
      </c>
    </row>
    <row r="20" spans="1:6" x14ac:dyDescent="0.2">
      <c r="A20" t="s">
        <v>28</v>
      </c>
      <c r="B20">
        <v>0.44</v>
      </c>
      <c r="C20">
        <v>0</v>
      </c>
      <c r="D20">
        <v>1</v>
      </c>
      <c r="E20">
        <v>1</v>
      </c>
      <c r="F20">
        <v>1</v>
      </c>
    </row>
    <row r="21" spans="1:6" x14ac:dyDescent="0.2">
      <c r="A21" s="1" t="s">
        <v>10</v>
      </c>
      <c r="B21">
        <v>0.44</v>
      </c>
      <c r="C21">
        <v>0</v>
      </c>
      <c r="D21">
        <v>1</v>
      </c>
      <c r="E21">
        <v>1</v>
      </c>
      <c r="F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AB41-FEE3-DE45-9B33-0F8BECFBB9F1}">
  <dimension ref="A1:F6"/>
  <sheetViews>
    <sheetView workbookViewId="0">
      <selection activeCell="C2" sqref="C2:C6"/>
    </sheetView>
  </sheetViews>
  <sheetFormatPr baseColWidth="10" defaultRowHeight="16" x14ac:dyDescent="0.2"/>
  <cols>
    <col min="1" max="1" width="22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>
        <v>0.47</v>
      </c>
      <c r="C2">
        <v>0</v>
      </c>
      <c r="D2">
        <v>1</v>
      </c>
      <c r="E2">
        <v>1</v>
      </c>
      <c r="F2">
        <v>1</v>
      </c>
    </row>
    <row r="3" spans="1:6" x14ac:dyDescent="0.2">
      <c r="A3" t="s">
        <v>12</v>
      </c>
      <c r="B3">
        <v>0.47</v>
      </c>
      <c r="C3">
        <v>0</v>
      </c>
      <c r="D3">
        <v>1</v>
      </c>
      <c r="E3">
        <v>1</v>
      </c>
      <c r="F3">
        <v>1</v>
      </c>
    </row>
    <row r="4" spans="1:6" x14ac:dyDescent="0.2">
      <c r="A4" t="s">
        <v>13</v>
      </c>
      <c r="B4">
        <v>0.47</v>
      </c>
      <c r="C4">
        <v>0</v>
      </c>
      <c r="D4">
        <v>1</v>
      </c>
      <c r="E4">
        <v>1</v>
      </c>
      <c r="F4">
        <v>1</v>
      </c>
    </row>
    <row r="5" spans="1:6" x14ac:dyDescent="0.2">
      <c r="A5" t="s">
        <v>14</v>
      </c>
      <c r="B5">
        <v>0.61</v>
      </c>
      <c r="C5">
        <v>0</v>
      </c>
      <c r="D5">
        <v>1</v>
      </c>
      <c r="E5">
        <v>1</v>
      </c>
      <c r="F5">
        <v>1</v>
      </c>
    </row>
    <row r="6" spans="1:6" x14ac:dyDescent="0.2">
      <c r="A6" t="s">
        <v>15</v>
      </c>
      <c r="B6">
        <v>0.61</v>
      </c>
      <c r="C6">
        <v>0</v>
      </c>
      <c r="D6">
        <v>1</v>
      </c>
      <c r="E6">
        <v>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0006-F199-F04A-B3FF-6525DB9F12CD}">
  <dimension ref="A1:F2"/>
  <sheetViews>
    <sheetView workbookViewId="0">
      <selection activeCell="C2" sqref="C2"/>
    </sheetView>
  </sheetViews>
  <sheetFormatPr baseColWidth="10" defaultRowHeight="16" x14ac:dyDescent="0.2"/>
  <cols>
    <col min="1" max="1" width="16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16</v>
      </c>
      <c r="B2">
        <v>0.69</v>
      </c>
      <c r="C2">
        <v>0</v>
      </c>
      <c r="D2">
        <v>1</v>
      </c>
      <c r="E2">
        <v>1</v>
      </c>
      <c r="F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EAA3-E912-C54D-A3CF-6FB9DA017997}">
  <dimension ref="A1:F5"/>
  <sheetViews>
    <sheetView workbookViewId="0">
      <selection activeCell="C11" sqref="C11"/>
    </sheetView>
  </sheetViews>
  <sheetFormatPr baseColWidth="10" defaultRowHeight="16" x14ac:dyDescent="0.2"/>
  <cols>
    <col min="1" max="1" width="2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17</v>
      </c>
      <c r="B2">
        <v>0.55000000000000004</v>
      </c>
      <c r="C2">
        <v>0</v>
      </c>
      <c r="D2">
        <v>1</v>
      </c>
      <c r="E2">
        <v>1</v>
      </c>
      <c r="F2">
        <v>1</v>
      </c>
    </row>
    <row r="3" spans="1:6" x14ac:dyDescent="0.2">
      <c r="A3" s="1" t="s">
        <v>18</v>
      </c>
      <c r="B3">
        <v>0.55000000000000004</v>
      </c>
      <c r="C3">
        <v>0</v>
      </c>
      <c r="D3">
        <v>1</v>
      </c>
      <c r="E3">
        <v>1</v>
      </c>
      <c r="F3">
        <v>1</v>
      </c>
    </row>
    <row r="4" spans="1:6" x14ac:dyDescent="0.2">
      <c r="A4" s="1" t="s">
        <v>19</v>
      </c>
      <c r="B4">
        <v>0.55000000000000004</v>
      </c>
      <c r="C4">
        <v>0</v>
      </c>
      <c r="D4">
        <v>1</v>
      </c>
      <c r="E4">
        <v>1</v>
      </c>
      <c r="F4">
        <v>1</v>
      </c>
    </row>
    <row r="5" spans="1:6" x14ac:dyDescent="0.2">
      <c r="A5" t="s">
        <v>20</v>
      </c>
      <c r="B5">
        <v>0.55000000000000004</v>
      </c>
      <c r="C5">
        <v>0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Castings</vt:lpstr>
      <vt:lpstr>Forgings</vt:lpstr>
      <vt:lpstr>Extrusions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2023-08-02T14:11:15Z</dcterms:created>
  <dcterms:modified xsi:type="dcterms:W3CDTF">2026-03-08T18:52:23Z</dcterms:modified>
</cp:coreProperties>
</file>