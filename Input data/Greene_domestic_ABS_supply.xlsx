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FA147929-C315-6844-8D99-EEA425DCB229}" xr6:coauthVersionLast="47" xr6:coauthVersionMax="47" xr10:uidLastSave="{00000000-0000-0000-0000-000000000000}"/>
  <bookViews>
    <workbookView xWindow="-20" yWindow="13820" windowWidth="25600" windowHeight="13200" xr2:uid="{CE78D312-9E13-A547-83A0-437C2594A650}"/>
  </bookViews>
  <sheets>
    <sheet name="Sheet" sheetId="1" r:id="rId1"/>
    <sheet name="Extrusion" sheetId="3" r:id="rId2"/>
    <sheet name="Forgings" sheetId="4" r:id="rId3"/>
    <sheet name="Castings" sheetId="5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 a="1"/>
  <c r="B11" i="1" s="1"/>
  <c r="B12" i="1" a="1"/>
  <c r="B12" i="1" s="1"/>
  <c r="B10" i="1" a="1"/>
  <c r="B10" i="1" s="1"/>
  <c r="B7" i="1" a="1"/>
  <c r="B7" i="1" s="1"/>
  <c r="B9" i="1" a="1"/>
  <c r="B9" i="1" s="1"/>
  <c r="B8" i="1" a="1"/>
  <c r="B8" i="1" s="1"/>
  <c r="B4" i="1" a="1"/>
  <c r="B4" i="1" s="1"/>
  <c r="B5" i="1" a="1"/>
  <c r="B5" i="1" s="1"/>
  <c r="B6" i="1" a="1"/>
  <c r="B6" i="1" s="1"/>
  <c r="B3" i="1" a="1"/>
  <c r="B3" i="1" s="1"/>
  <c r="B2" i="1" a="1"/>
  <c r="B2" i="1" s="1"/>
  <c r="B4" i="5" a="1"/>
  <c r="B4" i="5" s="1"/>
  <c r="B3" i="5" a="1"/>
  <c r="B3" i="5" s="1"/>
  <c r="B2" i="5" a="1"/>
  <c r="B2" i="5" s="1"/>
  <c r="B2" i="4" a="1"/>
  <c r="B2" i="4" s="1"/>
  <c r="B3" i="3" a="1"/>
  <c r="B3" i="3" s="1"/>
  <c r="B2" i="3" a="1"/>
  <c r="B2" i="3" s="1"/>
  <c r="A5" i="1" l="1" a="1"/>
  <c r="A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<sst xmlns="http://schemas.openxmlformats.org/spreadsheetml/2006/main" count="14" uniqueCount="11">
  <si>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Auto Sheet 1xxx</t>
  </si>
  <si>
    <t>Auto Sheet 3xxx</t>
  </si>
  <si>
    <t>Auto Sheet 4xxx</t>
  </si>
  <si>
    <t>Auto Sheet 7xxx</t>
  </si>
  <si>
    <t>Alloy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</si>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</sst>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5%20University%20of%20Michigan/Aluminum%20optimization/CSP%20auto%20revised%20growth%20rate%20with%20Greene.xlsx" TargetMode="External"/><Relationship Id="rId1" Type="http://schemas.openxmlformats.org/officeDocument/2006/relationships/externalLinkPath" Target="/Users/alissatsai/Documents/Winter%202025%20University%20of%20Michigan/Aluminum%20optimization/CSP%20auto%20revised%20growth%20rate%20with%20Gree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Greene_domestic_ABS_demand.xlsx" TargetMode="External"/><Relationship Id="rId1" Type="http://schemas.openxmlformats.org/officeDocument/2006/relationships/externalLinkPath" Target="Greene_domestic_ABS_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 lifespan from Greene"/>
      <sheetName val="Auto lifespan from Jiankan"/>
      <sheetName val="Ford vehicle DMFA"/>
    </sheetNames>
    <sheetDataSet>
      <sheetData sheetId="0">
        <row r="3">
          <cell r="B3">
            <v>0.80700000000000005</v>
          </cell>
        </row>
        <row r="330">
          <cell r="AZ330">
            <v>62.315530299999999</v>
          </cell>
          <cell r="BA330">
            <v>64.903195749999995</v>
          </cell>
          <cell r="BB330">
            <v>67.017074750000006</v>
          </cell>
          <cell r="BC330">
            <v>69.474552649999993</v>
          </cell>
          <cell r="BD330">
            <v>70.803261399999997</v>
          </cell>
          <cell r="BE330">
            <v>71.11250785</v>
          </cell>
          <cell r="BF330">
            <v>71.829040179999993</v>
          </cell>
          <cell r="BG330">
            <v>71.394416989999996</v>
          </cell>
          <cell r="BH330">
            <v>71.492104709999992</v>
          </cell>
          <cell r="BI330">
            <v>72.373139850000001</v>
          </cell>
          <cell r="BJ330">
            <v>72.508993369999999</v>
          </cell>
          <cell r="BK330">
            <v>73.703099189999989</v>
          </cell>
          <cell r="BL330">
            <v>77.823247050000006</v>
          </cell>
          <cell r="BM330">
            <v>82.07457737</v>
          </cell>
          <cell r="BN330">
            <v>87.344546159999993</v>
          </cell>
          <cell r="BO330">
            <v>91.488968900000003</v>
          </cell>
          <cell r="BP330">
            <v>95.494080210000007</v>
          </cell>
          <cell r="BQ330">
            <v>100.12241877</v>
          </cell>
          <cell r="BR330">
            <v>104.43460833</v>
          </cell>
          <cell r="BS330">
            <v>108.58432171</v>
          </cell>
          <cell r="BT330">
            <v>111.12740619</v>
          </cell>
          <cell r="BU330">
            <v>114.09159241</v>
          </cell>
          <cell r="BV330">
            <v>117.22006833999998</v>
          </cell>
          <cell r="BW330">
            <v>118.55868709000001</v>
          </cell>
          <cell r="BX330">
            <v>121.47262014</v>
          </cell>
          <cell r="BY330">
            <v>124.64096871000001</v>
          </cell>
          <cell r="BZ330">
            <v>126.67928107</v>
          </cell>
          <cell r="CA330">
            <v>130.78425673999999</v>
          </cell>
          <cell r="CB330">
            <v>135.57507299</v>
          </cell>
          <cell r="CC330">
            <v>140.11717272999999</v>
          </cell>
          <cell r="CD330">
            <v>144.99521806999999</v>
          </cell>
          <cell r="CE330">
            <v>149.36011897</v>
          </cell>
          <cell r="CF330">
            <v>155.17598031</v>
          </cell>
          <cell r="CG330">
            <v>159.57178124000001</v>
          </cell>
          <cell r="CH330">
            <v>165.66584849999998</v>
          </cell>
          <cell r="CI330">
            <v>172.18401854000001</v>
          </cell>
        </row>
        <row r="331">
          <cell r="AZ331">
            <v>23.0490168</v>
          </cell>
          <cell r="BA331">
            <v>24.006213299999999</v>
          </cell>
          <cell r="BB331">
            <v>24.78784315</v>
          </cell>
          <cell r="BC331">
            <v>25.696536699999999</v>
          </cell>
          <cell r="BD331">
            <v>26.1882795</v>
          </cell>
          <cell r="BE331">
            <v>26.302648300000001</v>
          </cell>
          <cell r="BF331">
            <v>26.567425780000001</v>
          </cell>
          <cell r="BG331">
            <v>26.406384129999999</v>
          </cell>
          <cell r="BH331">
            <v>26.442930529999998</v>
          </cell>
          <cell r="BI331">
            <v>26.7686934</v>
          </cell>
          <cell r="BJ331">
            <v>26.818563820000001</v>
          </cell>
          <cell r="BK331">
            <v>27.260297120000001</v>
          </cell>
          <cell r="BL331">
            <v>28.784562469999997</v>
          </cell>
          <cell r="BM331">
            <v>30.356564349999999</v>
          </cell>
          <cell r="BN331">
            <v>32.305828059999996</v>
          </cell>
          <cell r="BO331">
            <v>33.838620540000001</v>
          </cell>
          <cell r="BP331">
            <v>35.319941710000002</v>
          </cell>
          <cell r="BQ331">
            <v>37.031654340000003</v>
          </cell>
          <cell r="BR331">
            <v>38.626577339999997</v>
          </cell>
          <cell r="BS331">
            <v>40.161423060000004</v>
          </cell>
          <cell r="BT331">
            <v>41.10220288</v>
          </cell>
          <cell r="BU331">
            <v>42.198385889999997</v>
          </cell>
          <cell r="BV331">
            <v>43.355452909999997</v>
          </cell>
          <cell r="BW331">
            <v>43.85051404</v>
          </cell>
          <cell r="BX331">
            <v>44.928121470000001</v>
          </cell>
          <cell r="BY331">
            <v>46.099927369999996</v>
          </cell>
          <cell r="BZ331">
            <v>46.853865549999995</v>
          </cell>
          <cell r="CA331">
            <v>48.372037739999996</v>
          </cell>
          <cell r="CB331">
            <v>50.143775519999998</v>
          </cell>
          <cell r="CC331">
            <v>51.823780249999999</v>
          </cell>
          <cell r="CD331">
            <v>53.62797037</v>
          </cell>
          <cell r="CE331">
            <v>55.242192729999999</v>
          </cell>
          <cell r="CF331">
            <v>57.393681379999997</v>
          </cell>
          <cell r="CG331">
            <v>59.019284139999996</v>
          </cell>
          <cell r="CH331">
            <v>61.273195279999996</v>
          </cell>
          <cell r="CI331">
            <v>63.68382416</v>
          </cell>
        </row>
        <row r="332">
          <cell r="AZ332">
            <v>23.509114400000001</v>
          </cell>
          <cell r="BA332">
            <v>24.1162381</v>
          </cell>
          <cell r="BB332">
            <v>24.53727125</v>
          </cell>
          <cell r="BC332">
            <v>24.906297799999997</v>
          </cell>
          <cell r="BD332">
            <v>24.849311100000001</v>
          </cell>
          <cell r="BE332">
            <v>24.51951815</v>
          </cell>
          <cell r="BF332">
            <v>24.211184029999998</v>
          </cell>
          <cell r="BG332">
            <v>23.498263829999999</v>
          </cell>
          <cell r="BH332">
            <v>22.803039982000001</v>
          </cell>
          <cell r="BI332">
            <v>22.296421686999999</v>
          </cell>
          <cell r="BJ332">
            <v>21.598268355999998</v>
          </cell>
          <cell r="BK332">
            <v>21.142548941999998</v>
          </cell>
          <cell r="BL332">
            <v>21.240081954000001</v>
          </cell>
          <cell r="BM332">
            <v>21.546628163000001</v>
          </cell>
          <cell r="BN332">
            <v>21.977713719999997</v>
          </cell>
          <cell r="BO332">
            <v>22.24997969</v>
          </cell>
          <cell r="BP332">
            <v>22.536804262</v>
          </cell>
          <cell r="BQ332">
            <v>23.108027039</v>
          </cell>
          <cell r="BR332">
            <v>23.716622450999999</v>
          </cell>
          <cell r="BS332">
            <v>24.264985070999998</v>
          </cell>
          <cell r="BT332">
            <v>24.478108683999999</v>
          </cell>
          <cell r="BU332">
            <v>24.844302149000001</v>
          </cell>
          <cell r="BV332">
            <v>25.267607051999999</v>
          </cell>
          <cell r="BW332">
            <v>25.360429623000002</v>
          </cell>
          <cell r="BX332">
            <v>25.841573079</v>
          </cell>
          <cell r="BY332">
            <v>26.468612388</v>
          </cell>
          <cell r="BZ332">
            <v>26.945755988999998</v>
          </cell>
          <cell r="CA332">
            <v>27.734609020000001</v>
          </cell>
          <cell r="CB332">
            <v>28.763519070000001</v>
          </cell>
          <cell r="CC332">
            <v>29.82094068</v>
          </cell>
          <cell r="CD332">
            <v>31.091711539999999</v>
          </cell>
          <cell r="CE332">
            <v>32.086811499999996</v>
          </cell>
          <cell r="CF332">
            <v>33.386789559999997</v>
          </cell>
          <cell r="CG332">
            <v>34.397536770000002</v>
          </cell>
          <cell r="CH332">
            <v>35.818549779999998</v>
          </cell>
          <cell r="CI332">
            <v>37.332741689999999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/>
      <sheetData sheetId="1">
        <row r="303">
          <cell r="AZ303">
            <v>145.34738949999999</v>
          </cell>
          <cell r="BA303">
            <v>148.9148442</v>
          </cell>
          <cell r="BB303">
            <v>151.2001502</v>
          </cell>
          <cell r="BC303">
            <v>153.65823399999999</v>
          </cell>
          <cell r="BD303">
            <v>153.3070166</v>
          </cell>
          <cell r="BE303">
            <v>150.50645400000002</v>
          </cell>
          <cell r="BF303">
            <v>147.79584704999999</v>
          </cell>
          <cell r="BG303">
            <v>143.19558377000001</v>
          </cell>
          <cell r="BH303">
            <v>139.11565628</v>
          </cell>
          <cell r="BI303">
            <v>136.05303394999999</v>
          </cell>
          <cell r="BJ303">
            <v>131.55372374000001</v>
          </cell>
          <cell r="BK303">
            <v>128.81943904000002</v>
          </cell>
          <cell r="BL303">
            <v>129.30873700000001</v>
          </cell>
          <cell r="BM303">
            <v>130.26913812999999</v>
          </cell>
          <cell r="BN303">
            <v>131.91287384</v>
          </cell>
          <cell r="BO303">
            <v>132.35851460000001</v>
          </cell>
          <cell r="BP303">
            <v>132.29597878999999</v>
          </cell>
          <cell r="BQ303">
            <v>133.27524399999999</v>
          </cell>
          <cell r="BR303">
            <v>133.88048741</v>
          </cell>
          <cell r="BS303">
            <v>134.55232203</v>
          </cell>
          <cell r="BT303">
            <v>132.73173034999999</v>
          </cell>
          <cell r="BU303">
            <v>131.30548091</v>
          </cell>
          <cell r="BV303">
            <v>130.11170468</v>
          </cell>
          <cell r="BW303">
            <v>126.76340818</v>
          </cell>
          <cell r="BX303">
            <v>125.11237227999999</v>
          </cell>
          <cell r="BY303">
            <v>123.73322776000001</v>
          </cell>
          <cell r="BZ303">
            <v>121.42221910000001</v>
          </cell>
          <cell r="CA303">
            <v>121.01942507000001</v>
          </cell>
          <cell r="CB303">
            <v>121.36195859</v>
          </cell>
          <cell r="CC303">
            <v>121.72916739999999</v>
          </cell>
          <cell r="CD303">
            <v>122.10734929</v>
          </cell>
          <cell r="CE303">
            <v>121.94432513</v>
          </cell>
          <cell r="CF303">
            <v>123.12446295000001</v>
          </cell>
          <cell r="CG303">
            <v>123.14461219</v>
          </cell>
          <cell r="CH303">
            <v>124.98452257</v>
          </cell>
          <cell r="CI303">
            <v>127.10597418</v>
          </cell>
        </row>
        <row r="304">
          <cell r="AZ304">
            <v>290.694007</v>
          </cell>
          <cell r="BA304">
            <v>297.82933650000001</v>
          </cell>
          <cell r="BB304">
            <v>302.40027399999997</v>
          </cell>
          <cell r="BC304">
            <v>307.31604520000002</v>
          </cell>
          <cell r="BD304">
            <v>306.61423009999999</v>
          </cell>
          <cell r="BE304">
            <v>301.01382969999997</v>
          </cell>
          <cell r="BF304">
            <v>295.59277129999998</v>
          </cell>
          <cell r="BG304">
            <v>286.39175979999999</v>
          </cell>
          <cell r="BH304">
            <v>278.23248710000001</v>
          </cell>
          <cell r="BI304">
            <v>272.10720890000005</v>
          </cell>
          <cell r="BJ304">
            <v>263.10884520000002</v>
          </cell>
          <cell r="BK304">
            <v>257.64011169999998</v>
          </cell>
          <cell r="BL304">
            <v>258.61918509999998</v>
          </cell>
          <cell r="BM304">
            <v>260.53903859999997</v>
          </cell>
          <cell r="BN304">
            <v>263.82715660000002</v>
          </cell>
          <cell r="BO304">
            <v>264.71846069999998</v>
          </cell>
          <cell r="BP304">
            <v>264.59289093000001</v>
          </cell>
          <cell r="BQ304">
            <v>266.55131720000003</v>
          </cell>
          <cell r="BR304">
            <v>267.76236606999998</v>
          </cell>
          <cell r="BS304">
            <v>269.10660853999997</v>
          </cell>
          <cell r="BT304">
            <v>265.46514531000003</v>
          </cell>
          <cell r="BU304">
            <v>262.61219913000002</v>
          </cell>
          <cell r="BV304">
            <v>260.22481662000001</v>
          </cell>
          <cell r="BW304">
            <v>253.52774128999999</v>
          </cell>
          <cell r="BX304">
            <v>250.22598474</v>
          </cell>
          <cell r="BY304">
            <v>247.46682999000001</v>
          </cell>
          <cell r="BZ304">
            <v>242.84502424999999</v>
          </cell>
          <cell r="CA304">
            <v>242.03956205</v>
          </cell>
          <cell r="CB304">
            <v>242.72430180000001</v>
          </cell>
          <cell r="CC304">
            <v>243.45849289999998</v>
          </cell>
          <cell r="CD304">
            <v>244.21534690000001</v>
          </cell>
          <cell r="CE304">
            <v>243.8896871</v>
          </cell>
          <cell r="CF304">
            <v>246.24935529999999</v>
          </cell>
          <cell r="CG304">
            <v>246.2897442</v>
          </cell>
          <cell r="CH304">
            <v>249.96892099999999</v>
          </cell>
          <cell r="CI304">
            <v>254.21222469999998</v>
          </cell>
        </row>
        <row r="305">
          <cell r="AZ305">
            <v>602.15155389999995</v>
          </cell>
          <cell r="BA305">
            <v>616.93149080000001</v>
          </cell>
          <cell r="BB305">
            <v>626.40004700000009</v>
          </cell>
          <cell r="BC305">
            <v>636.5824245</v>
          </cell>
          <cell r="BD305">
            <v>635.12858249999999</v>
          </cell>
          <cell r="BE305">
            <v>623.52750760000004</v>
          </cell>
          <cell r="BF305">
            <v>612.29754079999998</v>
          </cell>
          <cell r="BG305">
            <v>593.23906479999994</v>
          </cell>
          <cell r="BH305">
            <v>576.33829349999996</v>
          </cell>
          <cell r="BI305">
            <v>563.65006219999998</v>
          </cell>
          <cell r="BJ305">
            <v>545.00986309999996</v>
          </cell>
          <cell r="BK305">
            <v>533.68194199999994</v>
          </cell>
          <cell r="BL305">
            <v>535.70994500000006</v>
          </cell>
          <cell r="BM305">
            <v>539.68758730000002</v>
          </cell>
          <cell r="BN305">
            <v>546.49810380000008</v>
          </cell>
          <cell r="BO305">
            <v>548.34492350000005</v>
          </cell>
          <cell r="BP305">
            <v>548.08477850000008</v>
          </cell>
          <cell r="BQ305">
            <v>552.14204339999992</v>
          </cell>
          <cell r="BR305">
            <v>554.6492452</v>
          </cell>
          <cell r="BS305">
            <v>557.43457890000002</v>
          </cell>
          <cell r="BT305">
            <v>549.89140550000002</v>
          </cell>
          <cell r="BU305">
            <v>543.9814672</v>
          </cell>
          <cell r="BV305">
            <v>539.03658500000006</v>
          </cell>
          <cell r="BW305">
            <v>525.16494490000002</v>
          </cell>
          <cell r="BX305">
            <v>518.32475999999997</v>
          </cell>
          <cell r="BY305">
            <v>512.6105513</v>
          </cell>
          <cell r="BZ305">
            <v>503.03724820000002</v>
          </cell>
          <cell r="CA305">
            <v>501.36880050000002</v>
          </cell>
          <cell r="CB305">
            <v>502.78706169999998</v>
          </cell>
          <cell r="CC305">
            <v>504.3080817</v>
          </cell>
          <cell r="CD305">
            <v>505.87582960000003</v>
          </cell>
          <cell r="CE305">
            <v>505.20121979999999</v>
          </cell>
          <cell r="CF305">
            <v>510.08911469999998</v>
          </cell>
          <cell r="CG305">
            <v>510.17343110000002</v>
          </cell>
          <cell r="CH305">
            <v>517.79469330000006</v>
          </cell>
          <cell r="CI305">
            <v>526.58376190000001</v>
          </cell>
        </row>
        <row r="306">
          <cell r="AZ306">
            <v>22.104386900000002</v>
          </cell>
          <cell r="BA306">
            <v>22.737453250000002</v>
          </cell>
          <cell r="BB306">
            <v>23.20303715</v>
          </cell>
          <cell r="BC306">
            <v>23.8106872</v>
          </cell>
          <cell r="BD306">
            <v>24.0222461</v>
          </cell>
          <cell r="BE306">
            <v>23.973987000000001</v>
          </cell>
          <cell r="BF306">
            <v>24.063237908000001</v>
          </cell>
          <cell r="BG306">
            <v>23.629745</v>
          </cell>
          <cell r="BH306">
            <v>23.363848340000001</v>
          </cell>
          <cell r="BI306">
            <v>23.605483509999999</v>
          </cell>
          <cell r="BJ306">
            <v>23.787535099999999</v>
          </cell>
          <cell r="BK306">
            <v>24.56088454</v>
          </cell>
          <cell r="BL306">
            <v>26.988394749999998</v>
          </cell>
          <cell r="BM306">
            <v>29.851511930000001</v>
          </cell>
          <cell r="BN306">
            <v>32.980270060000002</v>
          </cell>
          <cell r="BO306">
            <v>35.830920450000001</v>
          </cell>
          <cell r="BP306">
            <v>38.423625010000002</v>
          </cell>
          <cell r="BQ306">
            <v>41.5260885</v>
          </cell>
          <cell r="BR306">
            <v>44.319147600000001</v>
          </cell>
          <cell r="BS306">
            <v>47.273074949999994</v>
          </cell>
          <cell r="BT306">
            <v>49.076231820000004</v>
          </cell>
          <cell r="BU306">
            <v>51.255721339999994</v>
          </cell>
          <cell r="BV306">
            <v>53.355894060000004</v>
          </cell>
          <cell r="BW306">
            <v>54.333288980000006</v>
          </cell>
          <cell r="BX306">
            <v>55.936216540000004</v>
          </cell>
          <cell r="BY306">
            <v>57.541852989999995</v>
          </cell>
          <cell r="BZ306">
            <v>58.237965969999998</v>
          </cell>
          <cell r="CA306">
            <v>59.989717249999998</v>
          </cell>
          <cell r="CB306">
            <v>62.14837258</v>
          </cell>
          <cell r="CC306">
            <v>63.951838930000001</v>
          </cell>
          <cell r="CD306">
            <v>65.898540980000007</v>
          </cell>
          <cell r="CE306">
            <v>67.241397640000002</v>
          </cell>
          <cell r="CF306">
            <v>69.363059239999998</v>
          </cell>
          <cell r="CG306">
            <v>70.486439369999999</v>
          </cell>
          <cell r="CH306">
            <v>72.555984620000004</v>
          </cell>
          <cell r="CI306">
            <v>74.657668270000002</v>
          </cell>
        </row>
        <row r="308">
          <cell r="AZ308">
            <v>10.4681476</v>
          </cell>
          <cell r="BA308">
            <v>10.768032999999999</v>
          </cell>
          <cell r="BB308">
            <v>10.988476850000001</v>
          </cell>
          <cell r="BC308">
            <v>11.276126399999999</v>
          </cell>
          <cell r="BD308">
            <v>11.3762913</v>
          </cell>
          <cell r="BE308">
            <v>11.353654899999999</v>
          </cell>
          <cell r="BF308">
            <v>11.396139026</v>
          </cell>
          <cell r="BG308">
            <v>11.190837336</v>
          </cell>
          <cell r="BH308">
            <v>11.064815876000001</v>
          </cell>
          <cell r="BI308">
            <v>11.179539394999999</v>
          </cell>
          <cell r="BJ308">
            <v>11.265773514999999</v>
          </cell>
          <cell r="BK308">
            <v>11.631431013</v>
          </cell>
          <cell r="BL308">
            <v>12.781616979999999</v>
          </cell>
          <cell r="BM308">
            <v>14.137194082000001</v>
          </cell>
          <cell r="BN308">
            <v>15.618662535999999</v>
          </cell>
          <cell r="BO308">
            <v>16.968995606</v>
          </cell>
          <cell r="BP308">
            <v>18.196865653</v>
          </cell>
          <cell r="BQ308">
            <v>19.665793731999997</v>
          </cell>
          <cell r="BR308">
            <v>20.988892204999999</v>
          </cell>
          <cell r="BS308">
            <v>22.387788511</v>
          </cell>
          <cell r="BT308">
            <v>23.241856765000001</v>
          </cell>
          <cell r="BU308">
            <v>24.273899794000002</v>
          </cell>
          <cell r="BV308">
            <v>25.268350332000001</v>
          </cell>
          <cell r="BW308">
            <v>25.731140017000001</v>
          </cell>
          <cell r="BX308">
            <v>26.490324826999998</v>
          </cell>
          <cell r="BY308">
            <v>27.250398813000004</v>
          </cell>
          <cell r="BZ308">
            <v>27.580503632999999</v>
          </cell>
          <cell r="CA308">
            <v>28.409863690000002</v>
          </cell>
          <cell r="CB308">
            <v>29.432522720000001</v>
          </cell>
          <cell r="CC308">
            <v>30.286761949999999</v>
          </cell>
          <cell r="CD308">
            <v>31.20861756</v>
          </cell>
          <cell r="CE308">
            <v>31.84431451</v>
          </cell>
          <cell r="CF308">
            <v>32.849291020000003</v>
          </cell>
          <cell r="CG308">
            <v>33.381877009999997</v>
          </cell>
          <cell r="CH308">
            <v>34.361476699999997</v>
          </cell>
          <cell r="CI308">
            <v>35.357170289999999</v>
          </cell>
        </row>
        <row r="309">
          <cell r="AZ309">
            <v>2.3339585</v>
          </cell>
          <cell r="BA309">
            <v>2.4007727499999998</v>
          </cell>
          <cell r="BB309">
            <v>2.4501049500000001</v>
          </cell>
          <cell r="BC309">
            <v>2.51450415</v>
          </cell>
          <cell r="BD309">
            <v>2.5364113000000001</v>
          </cell>
          <cell r="BE309">
            <v>2.5317445999999997</v>
          </cell>
          <cell r="BF309">
            <v>2.5412937700000002</v>
          </cell>
          <cell r="BG309">
            <v>2.4955666140000003</v>
          </cell>
          <cell r="BH309">
            <v>2.4674831020000001</v>
          </cell>
          <cell r="BI309">
            <v>2.4933219800000002</v>
          </cell>
          <cell r="BJ309">
            <v>2.512837266</v>
          </cell>
          <cell r="BK309">
            <v>2.5943144020000002</v>
          </cell>
          <cell r="BL309">
            <v>2.8510826209999998</v>
          </cell>
          <cell r="BM309">
            <v>3.1534376110000002</v>
          </cell>
          <cell r="BN309">
            <v>3.4837904759999998</v>
          </cell>
          <cell r="BO309">
            <v>3.784953486</v>
          </cell>
          <cell r="BP309">
            <v>4.058965733</v>
          </cell>
          <cell r="BQ309">
            <v>4.3864608619999998</v>
          </cell>
          <cell r="BR309">
            <v>4.6819026899999994</v>
          </cell>
          <cell r="BS309">
            <v>4.9938445749999998</v>
          </cell>
          <cell r="BT309">
            <v>5.1842529170000002</v>
          </cell>
          <cell r="BU309">
            <v>5.414199355</v>
          </cell>
          <cell r="BV309">
            <v>5.6363324410000004</v>
          </cell>
          <cell r="BW309">
            <v>5.7397036239999997</v>
          </cell>
          <cell r="BX309">
            <v>5.9088129219999992</v>
          </cell>
          <cell r="BY309">
            <v>6.0783686400000008</v>
          </cell>
          <cell r="BZ309">
            <v>6.1523059880000002</v>
          </cell>
          <cell r="CA309">
            <v>6.3366741830000004</v>
          </cell>
          <cell r="CB309">
            <v>6.5648673630000003</v>
          </cell>
          <cell r="CC309">
            <v>6.7555961560000002</v>
          </cell>
          <cell r="CD309">
            <v>6.9612599189999997</v>
          </cell>
          <cell r="CE309">
            <v>7.1031344919999997</v>
          </cell>
          <cell r="CF309">
            <v>7.3271830419999997</v>
          </cell>
          <cell r="CG309">
            <v>7.4461124969999997</v>
          </cell>
          <cell r="CH309">
            <v>7.6644060409999994</v>
          </cell>
          <cell r="CI309">
            <v>7.8864689529999996</v>
          </cell>
        </row>
        <row r="310">
          <cell r="AZ310">
            <v>25.922852150000001</v>
          </cell>
          <cell r="BA310">
            <v>26.638062988449999</v>
          </cell>
          <cell r="BB310">
            <v>27.14603230082</v>
          </cell>
          <cell r="BC310">
            <v>27.777437418899996</v>
          </cell>
          <cell r="BD310">
            <v>27.882937824199999</v>
          </cell>
          <cell r="BE310">
            <v>27.596035215800001</v>
          </cell>
          <cell r="BF310">
            <v>27.344720343700001</v>
          </cell>
          <cell r="BG310">
            <v>26.3191851761</v>
          </cell>
          <cell r="BH310">
            <v>25.293683882299998</v>
          </cell>
          <cell r="BI310">
            <v>24.634740027000003</v>
          </cell>
          <cell r="BJ310">
            <v>23.651702880999999</v>
          </cell>
          <cell r="BK310">
            <v>23.091707766999999</v>
          </cell>
          <cell r="BL310">
            <v>24.198665644999998</v>
          </cell>
          <cell r="BM310">
            <v>25.549208399999998</v>
          </cell>
          <cell r="BN310">
            <v>26.967253228000001</v>
          </cell>
          <cell r="BO310">
            <v>27.848520155000003</v>
          </cell>
          <cell r="BP310">
            <v>28.25475844</v>
          </cell>
          <cell r="BQ310">
            <v>29.131396151999997</v>
          </cell>
          <cell r="BR310">
            <v>29.562710415999994</v>
          </cell>
          <cell r="BS310">
            <v>30.142250865999998</v>
          </cell>
          <cell r="BT310">
            <v>29.367992779999994</v>
          </cell>
          <cell r="BU310">
            <v>29.063554799999999</v>
          </cell>
          <cell r="BV310">
            <v>28.717732240000004</v>
          </cell>
          <cell r="BW310">
            <v>27.126453410000003</v>
          </cell>
          <cell r="BX310">
            <v>26.352028340000004</v>
          </cell>
          <cell r="BY310">
            <v>25.671985719999995</v>
          </cell>
          <cell r="BZ310">
            <v>24.020731959999999</v>
          </cell>
          <cell r="CA310">
            <v>23.704062580000006</v>
          </cell>
          <cell r="CB310">
            <v>23.958631619999998</v>
          </cell>
          <cell r="CC310">
            <v>23.886940639999999</v>
          </cell>
          <cell r="CD310">
            <v>24.068993650000003</v>
          </cell>
          <cell r="CE310">
            <v>23.719239490000007</v>
          </cell>
          <cell r="CF310">
            <v>24.387738890000008</v>
          </cell>
          <cell r="CG310">
            <v>23.939864340000007</v>
          </cell>
          <cell r="CH310">
            <v>24.651885040000003</v>
          </cell>
          <cell r="CI310">
            <v>25.446863929999999</v>
          </cell>
        </row>
        <row r="311">
          <cell r="AZ311">
            <v>0</v>
          </cell>
          <cell r="BA311">
            <v>1.6839218039999999E-2</v>
          </cell>
          <cell r="BB311">
            <v>4.0191600080000001E-2</v>
          </cell>
          <cell r="BC311">
            <v>9.0453930269999996E-2</v>
          </cell>
          <cell r="BD311">
            <v>0.17785223280000001</v>
          </cell>
          <cell r="BE311">
            <v>0.31947652859999998</v>
          </cell>
          <cell r="BF311">
            <v>0.53847125009999997</v>
          </cell>
          <cell r="BG311">
            <v>0.85663326429999997</v>
          </cell>
          <cell r="BH311">
            <v>1.2957348129999999</v>
          </cell>
          <cell r="BI311">
            <v>1.8753108860000001</v>
          </cell>
          <cell r="BJ311">
            <v>2.6108844200000001</v>
          </cell>
          <cell r="BK311">
            <v>3.5122395759999998</v>
          </cell>
          <cell r="BL311">
            <v>4.5819701400000001</v>
          </cell>
          <cell r="BM311">
            <v>5.8146739500000004</v>
          </cell>
          <cell r="BN311">
            <v>7.1971025170000003</v>
          </cell>
          <cell r="BO311">
            <v>8.7093210429999992</v>
          </cell>
          <cell r="BP311">
            <v>10.32664437</v>
          </cell>
          <cell r="BQ311">
            <v>12.021935729999999</v>
          </cell>
          <cell r="BR311">
            <v>13.76784129</v>
          </cell>
          <cell r="BS311">
            <v>15.53864211</v>
          </cell>
          <cell r="BT311">
            <v>17.311562299999999</v>
          </cell>
          <cell r="BU311">
            <v>19.067513739999999</v>
          </cell>
          <cell r="BV311">
            <v>20.79135307</v>
          </cell>
          <cell r="BW311">
            <v>22.47177091</v>
          </cell>
          <cell r="BX311">
            <v>24.100940309999999</v>
          </cell>
          <cell r="BY311">
            <v>25.674034639999999</v>
          </cell>
          <cell r="BZ311">
            <v>27.188698970000001</v>
          </cell>
          <cell r="CA311">
            <v>28.6445328</v>
          </cell>
          <cell r="CB311">
            <v>30.042618539999999</v>
          </cell>
          <cell r="CC311">
            <v>31.385113130000001</v>
          </cell>
          <cell r="CD311">
            <v>32.674908189999996</v>
          </cell>
          <cell r="CE311">
            <v>33.857151899999998</v>
          </cell>
          <cell r="CF311">
            <v>34.975596179999997</v>
          </cell>
          <cell r="CG311">
            <v>36.060504870000003</v>
          </cell>
          <cell r="CH311">
            <v>37.114502530000003</v>
          </cell>
          <cell r="CI311">
            <v>38.140176910000001</v>
          </cell>
        </row>
        <row r="312">
          <cell r="AZ312">
            <v>0</v>
          </cell>
          <cell r="BA312">
            <v>1.053119351E-2</v>
          </cell>
          <cell r="BB312">
            <v>2.5135699099999999E-2</v>
          </cell>
          <cell r="BC312">
            <v>5.6569600829999997E-2</v>
          </cell>
          <cell r="BD312">
            <v>0.111229943</v>
          </cell>
          <cell r="BE312">
            <v>0.19980820560000001</v>
          </cell>
          <cell r="BF312">
            <v>0.33679201619999999</v>
          </cell>
          <cell r="BG312">
            <v>0.53584591960000005</v>
          </cell>
          <cell r="BH312">
            <v>0.81065297469999997</v>
          </cell>
          <cell r="BI312">
            <v>1.173541827</v>
          </cell>
          <cell r="BJ312">
            <v>1.634375079</v>
          </cell>
          <cell r="BK312">
            <v>2.1994501870000001</v>
          </cell>
          <cell r="BL312">
            <v>2.8705585650000001</v>
          </cell>
          <cell r="BM312">
            <v>3.64444598</v>
          </cell>
          <cell r="BN312">
            <v>4.5128799050000001</v>
          </cell>
          <cell r="BO312">
            <v>5.4633657820000003</v>
          </cell>
          <cell r="BP312">
            <v>6.4803658000000004</v>
          </cell>
          <cell r="BQ312">
            <v>7.5467565680000002</v>
          </cell>
          <cell r="BR312">
            <v>8.6452514839999992</v>
          </cell>
          <cell r="BS312">
            <v>9.7595823139999993</v>
          </cell>
          <cell r="BT312">
            <v>10.87533545</v>
          </cell>
          <cell r="BU312">
            <v>11.980429129999999</v>
          </cell>
          <cell r="BV312">
            <v>13.06527941</v>
          </cell>
          <cell r="BW312">
            <v>14.12273137</v>
          </cell>
          <cell r="BX312">
            <v>15.14783656</v>
          </cell>
          <cell r="BY312">
            <v>16.137547040000001</v>
          </cell>
          <cell r="BZ312">
            <v>17.090379850000001</v>
          </cell>
          <cell r="CA312">
            <v>18.006088640000002</v>
          </cell>
          <cell r="CB312">
            <v>18.885364469999999</v>
          </cell>
          <cell r="CC312">
            <v>19.72957692</v>
          </cell>
          <cell r="CD312">
            <v>20.540558699999998</v>
          </cell>
          <cell r="CE312">
            <v>21.28269706</v>
          </cell>
          <cell r="CF312">
            <v>21.984300919999999</v>
          </cell>
          <cell r="CG312">
            <v>22.664931729999999</v>
          </cell>
          <cell r="CH312">
            <v>23.326230899999999</v>
          </cell>
          <cell r="CI312">
            <v>23.96981676</v>
          </cell>
        </row>
        <row r="313">
          <cell r="AZ313">
            <v>68.151817949999995</v>
          </cell>
          <cell r="BA313">
            <v>70.003813335770005</v>
          </cell>
          <cell r="BB313">
            <v>71.300069208099998</v>
          </cell>
          <cell r="BC313">
            <v>72.8745638324</v>
          </cell>
          <cell r="BD313">
            <v>73.005630800199995</v>
          </cell>
          <cell r="BE313">
            <v>72.012671229200009</v>
          </cell>
          <cell r="BF313">
            <v>70.983173954999998</v>
          </cell>
          <cell r="BG313">
            <v>67.753592588000004</v>
          </cell>
          <cell r="BH313">
            <v>64.32368121799999</v>
          </cell>
          <cell r="BI313">
            <v>61.632300325000003</v>
          </cell>
          <cell r="BJ313">
            <v>57.842111748000008</v>
          </cell>
          <cell r="BK313">
            <v>54.910536999999991</v>
          </cell>
          <cell r="BL313">
            <v>56.108650930000003</v>
          </cell>
          <cell r="BM313">
            <v>57.712776210000008</v>
          </cell>
          <cell r="BN313">
            <v>59.282564200000003</v>
          </cell>
          <cell r="BO313">
            <v>59.260861569999989</v>
          </cell>
          <cell r="BP313">
            <v>57.84982574</v>
          </cell>
          <cell r="BQ313">
            <v>57.571730510000009</v>
          </cell>
          <cell r="BR313">
            <v>56.058265679999977</v>
          </cell>
          <cell r="BS313">
            <v>54.903599630000016</v>
          </cell>
          <cell r="BT313">
            <v>50.192445180000007</v>
          </cell>
          <cell r="BU313">
            <v>46.740550210000009</v>
          </cell>
          <cell r="BV313">
            <v>43.229287210000024</v>
          </cell>
          <cell r="BW313">
            <v>36.504907500000002</v>
          </cell>
          <cell r="BX313">
            <v>32.000768370000003</v>
          </cell>
          <cell r="BY313">
            <v>27.825817449999988</v>
          </cell>
          <cell r="BZ313">
            <v>21.180862639999987</v>
          </cell>
          <cell r="CA313">
            <v>18.126575230000014</v>
          </cell>
          <cell r="CB313">
            <v>16.659668140000008</v>
          </cell>
          <cell r="CC313">
            <v>14.413989309999977</v>
          </cell>
          <cell r="CD313">
            <v>12.912663070000008</v>
          </cell>
          <cell r="CE313">
            <v>10.12281452000002</v>
          </cell>
          <cell r="CF313">
            <v>10.088684479999984</v>
          </cell>
          <cell r="CG313">
            <v>7.1763286700000322</v>
          </cell>
          <cell r="CH313">
            <v>7.3638574500000118</v>
          </cell>
          <cell r="CI313">
            <v>7.8210039299999892</v>
          </cell>
        </row>
        <row r="314">
          <cell r="AZ314">
            <v>0</v>
          </cell>
          <cell r="BA314">
            <v>4.9501955260000001E-2</v>
          </cell>
          <cell r="BB314">
            <v>0.118150545</v>
          </cell>
          <cell r="BC314">
            <v>0.26590583950000002</v>
          </cell>
          <cell r="BD314">
            <v>0.52272569950000003</v>
          </cell>
          <cell r="BE314">
            <v>0.9386429785</v>
          </cell>
          <cell r="BF314">
            <v>1.5809035769999999</v>
          </cell>
          <cell r="BG314">
            <v>2.5116096140000002</v>
          </cell>
          <cell r="BH314">
            <v>3.7907533199999999</v>
          </cell>
          <cell r="BI314">
            <v>5.46906129</v>
          </cell>
          <cell r="BJ314">
            <v>7.5828776810000003</v>
          </cell>
          <cell r="BK314">
            <v>10.15024266</v>
          </cell>
          <cell r="BL314">
            <v>13.168611889999999</v>
          </cell>
          <cell r="BM314">
            <v>16.614639499999999</v>
          </cell>
          <cell r="BN314">
            <v>20.4461929</v>
          </cell>
          <cell r="BO314">
            <v>24.60631605</v>
          </cell>
          <cell r="BP314">
            <v>29.028437830000001</v>
          </cell>
          <cell r="BQ314">
            <v>33.641924520000003</v>
          </cell>
          <cell r="BR314">
            <v>38.377155250000001</v>
          </cell>
          <cell r="BS314">
            <v>43.169559659999997</v>
          </cell>
          <cell r="BT314">
            <v>47.96237515</v>
          </cell>
          <cell r="BU314">
            <v>52.708147009999998</v>
          </cell>
          <cell r="BV314">
            <v>57.369166939999999</v>
          </cell>
          <cell r="BW314">
            <v>61.917119460000002</v>
          </cell>
          <cell r="BX314">
            <v>66.332210860000004</v>
          </cell>
          <cell r="BY314">
            <v>70.602016379999995</v>
          </cell>
          <cell r="BZ314">
            <v>74.720226159999996</v>
          </cell>
          <cell r="CA314">
            <v>78.68541578</v>
          </cell>
          <cell r="CB314">
            <v>82.49991747</v>
          </cell>
          <cell r="CC314">
            <v>86.168833100000001</v>
          </cell>
          <cell r="CD314">
            <v>89.699202339999999</v>
          </cell>
          <cell r="CE314">
            <v>93.008396930000004</v>
          </cell>
          <cell r="CF314">
            <v>96.168161720000001</v>
          </cell>
          <cell r="CG314">
            <v>99.229342529999997</v>
          </cell>
          <cell r="CH314">
            <v>102.1996537</v>
          </cell>
          <cell r="CI314">
            <v>105.08670480000001</v>
          </cell>
        </row>
        <row r="315">
          <cell r="AZ315">
            <v>0</v>
          </cell>
          <cell r="BA315">
            <v>5.0891858970000002E-2</v>
          </cell>
          <cell r="BB315">
            <v>0.1214679469</v>
          </cell>
          <cell r="BC315">
            <v>0.27337187810000002</v>
          </cell>
          <cell r="BD315">
            <v>0.53753855029999997</v>
          </cell>
          <cell r="BE315">
            <v>0.96567684229999995</v>
          </cell>
          <cell r="BF315">
            <v>1.627960758</v>
          </cell>
          <cell r="BG315">
            <v>2.590829888</v>
          </cell>
          <cell r="BH315">
            <v>3.9212322519999998</v>
          </cell>
          <cell r="BI315">
            <v>5.6801235749999996</v>
          </cell>
          <cell r="BJ315">
            <v>7.917074661</v>
          </cell>
          <cell r="BK315">
            <v>10.66472263</v>
          </cell>
          <cell r="BL315">
            <v>13.93381552</v>
          </cell>
          <cell r="BM315">
            <v>17.710162319999998</v>
          </cell>
          <cell r="BN315">
            <v>21.954634599999999</v>
          </cell>
          <cell r="BO315">
            <v>26.606514149999999</v>
          </cell>
          <cell r="BP315">
            <v>31.589481889999998</v>
          </cell>
          <cell r="BQ315">
            <v>36.818909859999998</v>
          </cell>
          <cell r="BR315">
            <v>42.209041980000002</v>
          </cell>
          <cell r="BS315">
            <v>47.678993089999999</v>
          </cell>
          <cell r="BT315">
            <v>53.157014029999999</v>
          </cell>
          <cell r="BU315">
            <v>58.582939510000003</v>
          </cell>
          <cell r="BV315">
            <v>63.909055270000003</v>
          </cell>
          <cell r="BW315">
            <v>69.099771410000002</v>
          </cell>
          <cell r="BX315">
            <v>74.130513469999997</v>
          </cell>
          <cell r="BY315">
            <v>78.986189679999995</v>
          </cell>
          <cell r="BZ315">
            <v>83.659507570000002</v>
          </cell>
          <cell r="CA315">
            <v>88.149327490000005</v>
          </cell>
          <cell r="CB315">
            <v>92.459163689999997</v>
          </cell>
          <cell r="CC315">
            <v>96.595889409999998</v>
          </cell>
          <cell r="CD315">
            <v>100.5686616</v>
          </cell>
          <cell r="CE315">
            <v>104.189216</v>
          </cell>
          <cell r="CF315">
            <v>107.60604960000001</v>
          </cell>
          <cell r="CG315">
            <v>110.9215311</v>
          </cell>
          <cell r="CH315">
            <v>114.1435929</v>
          </cell>
          <cell r="CI315">
            <v>117.28005520000001</v>
          </cell>
        </row>
        <row r="316">
          <cell r="AZ316">
            <v>2.3339585</v>
          </cell>
          <cell r="BA316">
            <v>2.4007727499999998</v>
          </cell>
          <cell r="BB316">
            <v>2.4501049500000001</v>
          </cell>
          <cell r="BC316">
            <v>2.51450415</v>
          </cell>
          <cell r="BD316">
            <v>2.5364113000000001</v>
          </cell>
          <cell r="BE316">
            <v>2.5317445999999997</v>
          </cell>
          <cell r="BF316">
            <v>2.5412937700000002</v>
          </cell>
          <cell r="BG316">
            <v>2.4955666140000003</v>
          </cell>
          <cell r="BH316">
            <v>2.4674831020000001</v>
          </cell>
          <cell r="BI316">
            <v>2.4933219800000002</v>
          </cell>
          <cell r="BJ316">
            <v>2.512837266</v>
          </cell>
          <cell r="BK316">
            <v>2.5943144020000002</v>
          </cell>
          <cell r="BL316">
            <v>2.8510826209999998</v>
          </cell>
          <cell r="BM316">
            <v>3.1534376110000002</v>
          </cell>
          <cell r="BN316">
            <v>3.4837904759999998</v>
          </cell>
          <cell r="BO316">
            <v>3.784953486</v>
          </cell>
          <cell r="BP316">
            <v>4.058965733</v>
          </cell>
          <cell r="BQ316">
            <v>4.3864608619999998</v>
          </cell>
          <cell r="BR316">
            <v>4.6819026899999994</v>
          </cell>
          <cell r="BS316">
            <v>4.9938445749999998</v>
          </cell>
          <cell r="BT316">
            <v>5.1842529170000002</v>
          </cell>
          <cell r="BU316">
            <v>5.414199355</v>
          </cell>
          <cell r="BV316">
            <v>5.6363324410000004</v>
          </cell>
          <cell r="BW316">
            <v>5.7397036239999997</v>
          </cell>
          <cell r="BX316">
            <v>5.9088129219999992</v>
          </cell>
          <cell r="BY316">
            <v>6.0783686400000008</v>
          </cell>
          <cell r="BZ316">
            <v>6.1523059880000002</v>
          </cell>
          <cell r="CA316">
            <v>6.3366741830000004</v>
          </cell>
          <cell r="CB316">
            <v>6.5648673630000003</v>
          </cell>
          <cell r="CC316">
            <v>6.7555961560000002</v>
          </cell>
          <cell r="CD316">
            <v>6.9612599189999997</v>
          </cell>
          <cell r="CE316">
            <v>7.1031344919999997</v>
          </cell>
          <cell r="CF316">
            <v>7.3271830419999997</v>
          </cell>
          <cell r="CG316">
            <v>7.4461124969999997</v>
          </cell>
          <cell r="CH316">
            <v>7.6644060409999994</v>
          </cell>
          <cell r="CI316">
            <v>7.8864689529999996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FEF-8F0D-9049-98C8-0BDA281870AC}">
  <dimension ref="A1:AK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baseColWidth="10" defaultRowHeight="16" x14ac:dyDescent="0.2"/>
  <cols>
    <col min="1" max="1" width="21" bestFit="1" customWidth="1"/>
  </cols>
  <sheetData>
    <row r="1" spans="1:37" x14ac:dyDescent="0.2">
      <c r="A1" t="s">
        <v>4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0</v>
      </c>
      <c r="B2" s="1" cm="1">
        <f t="array" ref="B2:AK2">'[3]Transport. LDVs (Greene)'!$AZ306:$CI306</f>
        <v>22.104386900000002</v>
      </c>
      <c r="C2">
        <v>22.737453250000002</v>
      </c>
      <c r="D2">
        <v>23.20303715</v>
      </c>
      <c r="E2">
        <v>23.8106872</v>
      </c>
      <c r="F2">
        <v>24.0222461</v>
      </c>
      <c r="G2">
        <v>23.973987000000001</v>
      </c>
      <c r="H2">
        <v>24.063237908000001</v>
      </c>
      <c r="I2">
        <v>23.629745</v>
      </c>
      <c r="J2">
        <v>23.363848340000001</v>
      </c>
      <c r="K2">
        <v>23.605483509999999</v>
      </c>
      <c r="L2">
        <v>23.787535099999999</v>
      </c>
      <c r="M2">
        <v>24.56088454</v>
      </c>
      <c r="N2">
        <v>26.988394749999998</v>
      </c>
      <c r="O2">
        <v>29.851511930000001</v>
      </c>
      <c r="P2">
        <v>32.980270060000002</v>
      </c>
      <c r="Q2">
        <v>35.830920450000001</v>
      </c>
      <c r="R2">
        <v>38.423625010000002</v>
      </c>
      <c r="S2">
        <v>41.5260885</v>
      </c>
      <c r="T2">
        <v>44.319147600000001</v>
      </c>
      <c r="U2">
        <v>47.273074949999994</v>
      </c>
      <c r="V2">
        <v>49.076231820000004</v>
      </c>
      <c r="W2">
        <v>51.255721339999994</v>
      </c>
      <c r="X2">
        <v>53.355894060000004</v>
      </c>
      <c r="Y2">
        <v>54.333288980000006</v>
      </c>
      <c r="Z2">
        <v>55.936216540000004</v>
      </c>
      <c r="AA2">
        <v>57.541852989999995</v>
      </c>
      <c r="AB2">
        <v>58.237965969999998</v>
      </c>
      <c r="AC2">
        <v>59.989717249999998</v>
      </c>
      <c r="AD2">
        <v>62.14837258</v>
      </c>
      <c r="AE2">
        <v>63.951838930000001</v>
      </c>
      <c r="AF2">
        <v>65.898540980000007</v>
      </c>
      <c r="AG2">
        <v>67.241397640000002</v>
      </c>
      <c r="AH2">
        <v>69.363059239999998</v>
      </c>
      <c r="AI2">
        <v>70.486439369999999</v>
      </c>
      <c r="AJ2">
        <v>72.555984620000004</v>
      </c>
      <c r="AK2">
        <v>74.657668270000002</v>
      </c>
    </row>
    <row r="3" spans="1:37" x14ac:dyDescent="0.2">
      <c r="A3" t="s">
        <v>1</v>
      </c>
      <c r="B3" s="1" cm="1">
        <f t="array" ref="B3:AK3">'[3]Transport. LDVs (Greene)'!$AZ308:$CI308</f>
        <v>10.4681476</v>
      </c>
      <c r="C3">
        <v>10.768032999999999</v>
      </c>
      <c r="D3">
        <v>10.988476850000001</v>
      </c>
      <c r="E3">
        <v>11.276126399999999</v>
      </c>
      <c r="F3">
        <v>11.3762913</v>
      </c>
      <c r="G3">
        <v>11.353654899999999</v>
      </c>
      <c r="H3">
        <v>11.396139026</v>
      </c>
      <c r="I3">
        <v>11.190837336</v>
      </c>
      <c r="J3">
        <v>11.064815876000001</v>
      </c>
      <c r="K3">
        <v>11.179539394999999</v>
      </c>
      <c r="L3">
        <v>11.265773514999999</v>
      </c>
      <c r="M3">
        <v>11.631431013</v>
      </c>
      <c r="N3">
        <v>12.781616979999999</v>
      </c>
      <c r="O3">
        <v>14.137194082000001</v>
      </c>
      <c r="P3">
        <v>15.618662535999999</v>
      </c>
      <c r="Q3">
        <v>16.968995606</v>
      </c>
      <c r="R3">
        <v>18.196865653</v>
      </c>
      <c r="S3">
        <v>19.665793731999997</v>
      </c>
      <c r="T3">
        <v>20.988892204999999</v>
      </c>
      <c r="U3">
        <v>22.387788511</v>
      </c>
      <c r="V3">
        <v>23.241856765000001</v>
      </c>
      <c r="W3">
        <v>24.273899794000002</v>
      </c>
      <c r="X3">
        <v>25.268350332000001</v>
      </c>
      <c r="Y3">
        <v>25.731140017000001</v>
      </c>
      <c r="Z3">
        <v>26.490324826999998</v>
      </c>
      <c r="AA3">
        <v>27.250398813000004</v>
      </c>
      <c r="AB3">
        <v>27.580503632999999</v>
      </c>
      <c r="AC3">
        <v>28.409863690000002</v>
      </c>
      <c r="AD3">
        <v>29.432522720000001</v>
      </c>
      <c r="AE3">
        <v>30.286761949999999</v>
      </c>
      <c r="AF3">
        <v>31.20861756</v>
      </c>
      <c r="AG3">
        <v>31.84431451</v>
      </c>
      <c r="AH3">
        <v>32.849291020000003</v>
      </c>
      <c r="AI3">
        <v>33.381877009999997</v>
      </c>
      <c r="AJ3">
        <v>34.361476699999997</v>
      </c>
      <c r="AK3">
        <v>35.357170289999999</v>
      </c>
    </row>
    <row r="4" spans="1:37" x14ac:dyDescent="0.2">
      <c r="A4" t="s">
        <v>2</v>
      </c>
      <c r="B4" s="1" cm="1">
        <f t="array" ref="B4:AK4">'[3]Transport. LDVs (Greene)'!$AZ309:$CI309</f>
        <v>2.3339585</v>
      </c>
      <c r="C4">
        <v>2.4007727499999998</v>
      </c>
      <c r="D4">
        <v>2.4501049500000001</v>
      </c>
      <c r="E4">
        <v>2.51450415</v>
      </c>
      <c r="F4">
        <v>2.5364113000000001</v>
      </c>
      <c r="G4">
        <v>2.5317445999999997</v>
      </c>
      <c r="H4">
        <v>2.5412937700000002</v>
      </c>
      <c r="I4">
        <v>2.4955666140000003</v>
      </c>
      <c r="J4">
        <v>2.4674831020000001</v>
      </c>
      <c r="K4">
        <v>2.4933219800000002</v>
      </c>
      <c r="L4">
        <v>2.512837266</v>
      </c>
      <c r="M4">
        <v>2.5943144020000002</v>
      </c>
      <c r="N4">
        <v>2.8510826209999998</v>
      </c>
      <c r="O4">
        <v>3.1534376110000002</v>
      </c>
      <c r="P4">
        <v>3.4837904759999998</v>
      </c>
      <c r="Q4">
        <v>3.784953486</v>
      </c>
      <c r="R4">
        <v>4.058965733</v>
      </c>
      <c r="S4">
        <v>4.3864608619999998</v>
      </c>
      <c r="T4">
        <v>4.6819026899999994</v>
      </c>
      <c r="U4">
        <v>4.9938445749999998</v>
      </c>
      <c r="V4">
        <v>5.1842529170000002</v>
      </c>
      <c r="W4">
        <v>5.414199355</v>
      </c>
      <c r="X4">
        <v>5.6363324410000004</v>
      </c>
      <c r="Y4">
        <v>5.7397036239999997</v>
      </c>
      <c r="Z4">
        <v>5.9088129219999992</v>
      </c>
      <c r="AA4">
        <v>6.0783686400000008</v>
      </c>
      <c r="AB4">
        <v>6.1523059880000002</v>
      </c>
      <c r="AC4">
        <v>6.3366741830000004</v>
      </c>
      <c r="AD4">
        <v>6.5648673630000003</v>
      </c>
      <c r="AE4">
        <v>6.7555961560000002</v>
      </c>
      <c r="AF4">
        <v>6.9612599189999997</v>
      </c>
      <c r="AG4">
        <v>7.1031344919999997</v>
      </c>
      <c r="AH4">
        <v>7.3271830419999997</v>
      </c>
      <c r="AI4">
        <v>7.4461124969999997</v>
      </c>
      <c r="AJ4">
        <v>7.6644060409999994</v>
      </c>
      <c r="AK4">
        <v>7.8864689529999996</v>
      </c>
    </row>
    <row r="5" spans="1:37" x14ac:dyDescent="0.2">
      <c r="A5" t="str" cm="1">
        <f t="array" ref="A5:A11">[2]Sheet!$A$2:$A$8</f>
        <v>Auto Sheet 5xxx</v>
      </c>
      <c r="B5" s="1" cm="1">
        <f t="array" ref="B5:AK5">'[3]Transport. LDVs (Greene)'!$AZ310:$CI310</f>
        <v>25.922852150000001</v>
      </c>
      <c r="C5" s="1">
        <v>26.638062988449999</v>
      </c>
      <c r="D5" s="1">
        <v>27.14603230082</v>
      </c>
      <c r="E5" s="1">
        <v>27.777437418899996</v>
      </c>
      <c r="F5" s="1">
        <v>27.882937824199999</v>
      </c>
      <c r="G5" s="1">
        <v>27.596035215800001</v>
      </c>
      <c r="H5" s="1">
        <v>27.344720343700001</v>
      </c>
      <c r="I5" s="1">
        <v>26.3191851761</v>
      </c>
      <c r="J5" s="1">
        <v>25.293683882299998</v>
      </c>
      <c r="K5" s="1">
        <v>24.634740027000003</v>
      </c>
      <c r="L5" s="1">
        <v>23.651702880999999</v>
      </c>
      <c r="M5" s="1">
        <v>23.091707766999999</v>
      </c>
      <c r="N5" s="1">
        <v>24.198665644999998</v>
      </c>
      <c r="O5" s="1">
        <v>25.549208399999998</v>
      </c>
      <c r="P5" s="1">
        <v>26.967253228000001</v>
      </c>
      <c r="Q5" s="1">
        <v>27.848520155000003</v>
      </c>
      <c r="R5" s="1">
        <v>28.25475844</v>
      </c>
      <c r="S5" s="1">
        <v>29.131396151999997</v>
      </c>
      <c r="T5" s="1">
        <v>29.562710415999994</v>
      </c>
      <c r="U5" s="1">
        <v>30.142250865999998</v>
      </c>
      <c r="V5" s="1">
        <v>29.367992779999994</v>
      </c>
      <c r="W5" s="1">
        <v>29.063554799999999</v>
      </c>
      <c r="X5" s="1">
        <v>28.717732240000004</v>
      </c>
      <c r="Y5" s="1">
        <v>27.126453410000003</v>
      </c>
      <c r="Z5" s="1">
        <v>26.352028340000004</v>
      </c>
      <c r="AA5" s="1">
        <v>25.671985719999995</v>
      </c>
      <c r="AB5" s="1">
        <v>24.020731959999999</v>
      </c>
      <c r="AC5" s="1">
        <v>23.704062580000006</v>
      </c>
      <c r="AD5" s="1">
        <v>23.958631619999998</v>
      </c>
      <c r="AE5" s="1">
        <v>23.886940639999999</v>
      </c>
      <c r="AF5" s="1">
        <v>24.068993650000003</v>
      </c>
      <c r="AG5" s="1">
        <v>23.719239490000007</v>
      </c>
      <c r="AH5" s="1">
        <v>24.387738890000008</v>
      </c>
      <c r="AI5" s="1">
        <v>23.939864340000007</v>
      </c>
      <c r="AJ5" s="1">
        <v>24.651885040000003</v>
      </c>
      <c r="AK5" s="1">
        <v>25.446863929999999</v>
      </c>
    </row>
    <row r="6" spans="1:37" x14ac:dyDescent="0.2">
      <c r="A6" t="str">
        <v>Auto Sheet Ford Low Mg</v>
      </c>
      <c r="B6" s="1" cm="1">
        <f t="array" ref="B6:AK6">'[3]Transport. LDVs (Greene)'!$AZ311:$CI311</f>
        <v>0</v>
      </c>
      <c r="C6">
        <v>1.6839218039999999E-2</v>
      </c>
      <c r="D6">
        <v>4.0191600080000001E-2</v>
      </c>
      <c r="E6">
        <v>9.0453930269999996E-2</v>
      </c>
      <c r="F6">
        <v>0.17785223280000001</v>
      </c>
      <c r="G6">
        <v>0.31947652859999998</v>
      </c>
      <c r="H6">
        <v>0.53847125009999997</v>
      </c>
      <c r="I6">
        <v>0.85663326429999997</v>
      </c>
      <c r="J6">
        <v>1.2957348129999999</v>
      </c>
      <c r="K6">
        <v>1.8753108860000001</v>
      </c>
      <c r="L6">
        <v>2.6108844200000001</v>
      </c>
      <c r="M6">
        <v>3.5122395759999998</v>
      </c>
      <c r="N6">
        <v>4.5819701400000001</v>
      </c>
      <c r="O6">
        <v>5.8146739500000004</v>
      </c>
      <c r="P6">
        <v>7.1971025170000003</v>
      </c>
      <c r="Q6">
        <v>8.7093210429999992</v>
      </c>
      <c r="R6">
        <v>10.32664437</v>
      </c>
      <c r="S6">
        <v>12.021935729999999</v>
      </c>
      <c r="T6">
        <v>13.76784129</v>
      </c>
      <c r="U6">
        <v>15.53864211</v>
      </c>
      <c r="V6">
        <v>17.311562299999999</v>
      </c>
      <c r="W6">
        <v>19.067513739999999</v>
      </c>
      <c r="X6">
        <v>20.79135307</v>
      </c>
      <c r="Y6">
        <v>22.47177091</v>
      </c>
      <c r="Z6">
        <v>24.100940309999999</v>
      </c>
      <c r="AA6">
        <v>25.674034639999999</v>
      </c>
      <c r="AB6">
        <v>27.188698970000001</v>
      </c>
      <c r="AC6">
        <v>28.6445328</v>
      </c>
      <c r="AD6">
        <v>30.042618539999999</v>
      </c>
      <c r="AE6">
        <v>31.385113130000001</v>
      </c>
      <c r="AF6">
        <v>32.674908189999996</v>
      </c>
      <c r="AG6">
        <v>33.857151899999998</v>
      </c>
      <c r="AH6">
        <v>34.975596179999997</v>
      </c>
      <c r="AI6">
        <v>36.060504870000003</v>
      </c>
      <c r="AJ6">
        <v>37.114502530000003</v>
      </c>
      <c r="AK6">
        <v>38.140176910000001</v>
      </c>
    </row>
    <row r="7" spans="1:37" x14ac:dyDescent="0.2">
      <c r="A7" t="str">
        <v>Auto Sheet Ford High Mg</v>
      </c>
      <c r="B7" s="1" cm="1">
        <f t="array" ref="B7:AK7">'[3]Transport. LDVs (Greene)'!$AZ312:$CI312</f>
        <v>0</v>
      </c>
      <c r="C7">
        <v>1.053119351E-2</v>
      </c>
      <c r="D7">
        <v>2.5135699099999999E-2</v>
      </c>
      <c r="E7">
        <v>5.6569600829999997E-2</v>
      </c>
      <c r="F7">
        <v>0.111229943</v>
      </c>
      <c r="G7">
        <v>0.19980820560000001</v>
      </c>
      <c r="H7">
        <v>0.33679201619999999</v>
      </c>
      <c r="I7">
        <v>0.53584591960000005</v>
      </c>
      <c r="J7">
        <v>0.81065297469999997</v>
      </c>
      <c r="K7">
        <v>1.173541827</v>
      </c>
      <c r="L7">
        <v>1.634375079</v>
      </c>
      <c r="M7">
        <v>2.1994501870000001</v>
      </c>
      <c r="N7">
        <v>2.8705585650000001</v>
      </c>
      <c r="O7">
        <v>3.64444598</v>
      </c>
      <c r="P7">
        <v>4.5128799050000001</v>
      </c>
      <c r="Q7">
        <v>5.4633657820000003</v>
      </c>
      <c r="R7">
        <v>6.4803658000000004</v>
      </c>
      <c r="S7">
        <v>7.5467565680000002</v>
      </c>
      <c r="T7">
        <v>8.6452514839999992</v>
      </c>
      <c r="U7">
        <v>9.7595823139999993</v>
      </c>
      <c r="V7">
        <v>10.87533545</v>
      </c>
      <c r="W7">
        <v>11.980429129999999</v>
      </c>
      <c r="X7">
        <v>13.06527941</v>
      </c>
      <c r="Y7">
        <v>14.12273137</v>
      </c>
      <c r="Z7">
        <v>15.14783656</v>
      </c>
      <c r="AA7">
        <v>16.137547040000001</v>
      </c>
      <c r="AB7">
        <v>17.090379850000001</v>
      </c>
      <c r="AC7">
        <v>18.006088640000002</v>
      </c>
      <c r="AD7">
        <v>18.885364469999999</v>
      </c>
      <c r="AE7">
        <v>19.72957692</v>
      </c>
      <c r="AF7">
        <v>20.540558699999998</v>
      </c>
      <c r="AG7">
        <v>21.28269706</v>
      </c>
      <c r="AH7">
        <v>21.984300919999999</v>
      </c>
      <c r="AI7">
        <v>22.664931729999999</v>
      </c>
      <c r="AJ7">
        <v>23.326230899999999</v>
      </c>
      <c r="AK7">
        <v>23.96981676</v>
      </c>
    </row>
    <row r="8" spans="1:37" x14ac:dyDescent="0.2">
      <c r="A8" t="str">
        <v>Auto Sheet 6xxx 6005C</v>
      </c>
      <c r="B8" s="1" cm="1">
        <f t="array" ref="B8:AK8">0.5 * '[3]Transport. LDVs (Greene)'!$AZ313:$CI313</f>
        <v>34.075908974999997</v>
      </c>
      <c r="C8">
        <v>35.001906667885002</v>
      </c>
      <c r="D8">
        <v>35.650034604049999</v>
      </c>
      <c r="E8">
        <v>36.4372819162</v>
      </c>
      <c r="F8">
        <v>36.502815400099998</v>
      </c>
      <c r="G8">
        <v>36.006335614600005</v>
      </c>
      <c r="H8">
        <v>35.491586977499999</v>
      </c>
      <c r="I8">
        <v>33.876796294000002</v>
      </c>
      <c r="J8">
        <v>32.161840608999995</v>
      </c>
      <c r="K8">
        <v>30.816150162500001</v>
      </c>
      <c r="L8">
        <v>28.921055874000004</v>
      </c>
      <c r="M8">
        <v>27.455268499999995</v>
      </c>
      <c r="N8">
        <v>28.054325465000002</v>
      </c>
      <c r="O8">
        <v>28.856388105000004</v>
      </c>
      <c r="P8">
        <v>29.641282100000002</v>
      </c>
      <c r="Q8">
        <v>29.630430784999994</v>
      </c>
      <c r="R8">
        <v>28.92491287</v>
      </c>
      <c r="S8">
        <v>28.785865255000004</v>
      </c>
      <c r="T8">
        <v>28.029132839999988</v>
      </c>
      <c r="U8">
        <v>27.451799815000008</v>
      </c>
      <c r="V8">
        <v>25.096222590000004</v>
      </c>
      <c r="W8">
        <v>23.370275105000005</v>
      </c>
      <c r="X8">
        <v>21.614643605000012</v>
      </c>
      <c r="Y8">
        <v>18.252453750000001</v>
      </c>
      <c r="Z8">
        <v>16.000384185000001</v>
      </c>
      <c r="AA8">
        <v>13.912908724999994</v>
      </c>
      <c r="AB8">
        <v>10.590431319999993</v>
      </c>
      <c r="AC8">
        <v>9.0632876150000072</v>
      </c>
      <c r="AD8">
        <v>8.329834070000004</v>
      </c>
      <c r="AE8">
        <v>7.2069946549999884</v>
      </c>
      <c r="AF8">
        <v>6.4563315350000039</v>
      </c>
      <c r="AG8">
        <v>5.06140726000001</v>
      </c>
      <c r="AH8">
        <v>5.0443422399999918</v>
      </c>
      <c r="AI8">
        <v>3.5881643350000161</v>
      </c>
      <c r="AJ8">
        <v>3.6819287250000059</v>
      </c>
      <c r="AK8">
        <v>3.9105019649999946</v>
      </c>
    </row>
    <row r="9" spans="1:37" x14ac:dyDescent="0.2">
      <c r="A9" t="str">
        <v>Auto Sheet 6xxx 6016</v>
      </c>
      <c r="B9" cm="1">
        <f t="array" ref="B9:AK9">0.5 * '[3]Transport. LDVs (Greene)'!$AZ313:$CI313</f>
        <v>34.075908974999997</v>
      </c>
      <c r="C9">
        <v>35.001906667885002</v>
      </c>
      <c r="D9">
        <v>35.650034604049999</v>
      </c>
      <c r="E9">
        <v>36.4372819162</v>
      </c>
      <c r="F9">
        <v>36.502815400099998</v>
      </c>
      <c r="G9">
        <v>36.006335614600005</v>
      </c>
      <c r="H9">
        <v>35.491586977499999</v>
      </c>
      <c r="I9">
        <v>33.876796294000002</v>
      </c>
      <c r="J9">
        <v>32.161840608999995</v>
      </c>
      <c r="K9">
        <v>30.816150162500001</v>
      </c>
      <c r="L9">
        <v>28.921055874000004</v>
      </c>
      <c r="M9">
        <v>27.455268499999995</v>
      </c>
      <c r="N9">
        <v>28.054325465000002</v>
      </c>
      <c r="O9">
        <v>28.856388105000004</v>
      </c>
      <c r="P9">
        <v>29.641282100000002</v>
      </c>
      <c r="Q9">
        <v>29.630430784999994</v>
      </c>
      <c r="R9">
        <v>28.92491287</v>
      </c>
      <c r="S9">
        <v>28.785865255000004</v>
      </c>
      <c r="T9">
        <v>28.029132839999988</v>
      </c>
      <c r="U9">
        <v>27.451799815000008</v>
      </c>
      <c r="V9">
        <v>25.096222590000004</v>
      </c>
      <c r="W9">
        <v>23.370275105000005</v>
      </c>
      <c r="X9">
        <v>21.614643605000012</v>
      </c>
      <c r="Y9">
        <v>18.252453750000001</v>
      </c>
      <c r="Z9">
        <v>16.000384185000001</v>
      </c>
      <c r="AA9">
        <v>13.912908724999994</v>
      </c>
      <c r="AB9">
        <v>10.590431319999993</v>
      </c>
      <c r="AC9">
        <v>9.0632876150000072</v>
      </c>
      <c r="AD9">
        <v>8.329834070000004</v>
      </c>
      <c r="AE9">
        <v>7.2069946549999884</v>
      </c>
      <c r="AF9">
        <v>6.4563315350000039</v>
      </c>
      <c r="AG9">
        <v>5.06140726000001</v>
      </c>
      <c r="AH9">
        <v>5.0443422399999918</v>
      </c>
      <c r="AI9">
        <v>3.5881643350000161</v>
      </c>
      <c r="AJ9">
        <v>3.6819287250000059</v>
      </c>
      <c r="AK9">
        <v>3.9105019649999946</v>
      </c>
    </row>
    <row r="10" spans="1:37" x14ac:dyDescent="0.2">
      <c r="A10" t="str">
        <v>Auto Sheet Ford Low Cu</v>
      </c>
      <c r="B10" cm="1">
        <f t="array" ref="B10:AK10">'[3]Transport. LDVs (Greene)'!$AZ314:$CI314</f>
        <v>0</v>
      </c>
      <c r="C10">
        <v>4.9501955260000001E-2</v>
      </c>
      <c r="D10">
        <v>0.118150545</v>
      </c>
      <c r="E10">
        <v>0.26590583950000002</v>
      </c>
      <c r="F10">
        <v>0.52272569950000003</v>
      </c>
      <c r="G10">
        <v>0.9386429785</v>
      </c>
      <c r="H10">
        <v>1.5809035769999999</v>
      </c>
      <c r="I10">
        <v>2.5116096140000002</v>
      </c>
      <c r="J10">
        <v>3.7907533199999999</v>
      </c>
      <c r="K10">
        <v>5.46906129</v>
      </c>
      <c r="L10">
        <v>7.5828776810000003</v>
      </c>
      <c r="M10">
        <v>10.15024266</v>
      </c>
      <c r="N10">
        <v>13.168611889999999</v>
      </c>
      <c r="O10">
        <v>16.614639499999999</v>
      </c>
      <c r="P10">
        <v>20.4461929</v>
      </c>
      <c r="Q10">
        <v>24.60631605</v>
      </c>
      <c r="R10">
        <v>29.028437830000001</v>
      </c>
      <c r="S10">
        <v>33.641924520000003</v>
      </c>
      <c r="T10">
        <v>38.377155250000001</v>
      </c>
      <c r="U10">
        <v>43.169559659999997</v>
      </c>
      <c r="V10">
        <v>47.96237515</v>
      </c>
      <c r="W10">
        <v>52.708147009999998</v>
      </c>
      <c r="X10">
        <v>57.369166939999999</v>
      </c>
      <c r="Y10">
        <v>61.917119460000002</v>
      </c>
      <c r="Z10">
        <v>66.332210860000004</v>
      </c>
      <c r="AA10">
        <v>70.602016379999995</v>
      </c>
      <c r="AB10">
        <v>74.720226159999996</v>
      </c>
      <c r="AC10">
        <v>78.68541578</v>
      </c>
      <c r="AD10">
        <v>82.49991747</v>
      </c>
      <c r="AE10">
        <v>86.168833100000001</v>
      </c>
      <c r="AF10">
        <v>89.699202339999999</v>
      </c>
      <c r="AG10">
        <v>93.008396930000004</v>
      </c>
      <c r="AH10">
        <v>96.168161720000001</v>
      </c>
      <c r="AI10">
        <v>99.229342529999997</v>
      </c>
      <c r="AJ10">
        <v>102.1996537</v>
      </c>
      <c r="AK10">
        <v>105.08670480000001</v>
      </c>
    </row>
    <row r="11" spans="1:37" x14ac:dyDescent="0.2">
      <c r="A11" t="str">
        <v>Auto Sheet Ford High Cu</v>
      </c>
      <c r="B11" cm="1">
        <f t="array" ref="B11:AK11">'[3]Transport. LDVs (Greene)'!$AZ315:$CI315</f>
        <v>0</v>
      </c>
      <c r="C11">
        <v>5.0891858970000002E-2</v>
      </c>
      <c r="D11">
        <v>0.1214679469</v>
      </c>
      <c r="E11">
        <v>0.27337187810000002</v>
      </c>
      <c r="F11">
        <v>0.53753855029999997</v>
      </c>
      <c r="G11">
        <v>0.96567684229999995</v>
      </c>
      <c r="H11">
        <v>1.627960758</v>
      </c>
      <c r="I11">
        <v>2.590829888</v>
      </c>
      <c r="J11">
        <v>3.9212322519999998</v>
      </c>
      <c r="K11">
        <v>5.6801235749999996</v>
      </c>
      <c r="L11">
        <v>7.917074661</v>
      </c>
      <c r="M11">
        <v>10.66472263</v>
      </c>
      <c r="N11">
        <v>13.93381552</v>
      </c>
      <c r="O11">
        <v>17.710162319999998</v>
      </c>
      <c r="P11">
        <v>21.954634599999999</v>
      </c>
      <c r="Q11">
        <v>26.606514149999999</v>
      </c>
      <c r="R11">
        <v>31.589481889999998</v>
      </c>
      <c r="S11">
        <v>36.818909859999998</v>
      </c>
      <c r="T11">
        <v>42.209041980000002</v>
      </c>
      <c r="U11">
        <v>47.678993089999999</v>
      </c>
      <c r="V11">
        <v>53.157014029999999</v>
      </c>
      <c r="W11">
        <v>58.582939510000003</v>
      </c>
      <c r="X11">
        <v>63.909055270000003</v>
      </c>
      <c r="Y11">
        <v>69.099771410000002</v>
      </c>
      <c r="Z11">
        <v>74.130513469999997</v>
      </c>
      <c r="AA11">
        <v>78.986189679999995</v>
      </c>
      <c r="AB11">
        <v>83.659507570000002</v>
      </c>
      <c r="AC11">
        <v>88.149327490000005</v>
      </c>
      <c r="AD11">
        <v>92.459163689999997</v>
      </c>
      <c r="AE11">
        <v>96.595889409999998</v>
      </c>
      <c r="AF11">
        <v>100.5686616</v>
      </c>
      <c r="AG11">
        <v>104.189216</v>
      </c>
      <c r="AH11">
        <v>107.60604960000001</v>
      </c>
      <c r="AI11">
        <v>110.9215311</v>
      </c>
      <c r="AJ11">
        <v>114.1435929</v>
      </c>
      <c r="AK11">
        <v>117.28005520000001</v>
      </c>
    </row>
    <row r="12" spans="1:37" x14ac:dyDescent="0.2">
      <c r="A12" t="s">
        <v>3</v>
      </c>
      <c r="B12" cm="1">
        <f t="array" ref="B12:AK12">'[3]Transport. LDVs (Greene)'!$AZ316:$CI316</f>
        <v>2.3339585</v>
      </c>
      <c r="C12">
        <v>2.4007727499999998</v>
      </c>
      <c r="D12">
        <v>2.4501049500000001</v>
      </c>
      <c r="E12">
        <v>2.51450415</v>
      </c>
      <c r="F12">
        <v>2.5364113000000001</v>
      </c>
      <c r="G12">
        <v>2.5317445999999997</v>
      </c>
      <c r="H12">
        <v>2.5412937700000002</v>
      </c>
      <c r="I12">
        <v>2.4955666140000003</v>
      </c>
      <c r="J12">
        <v>2.4674831020000001</v>
      </c>
      <c r="K12">
        <v>2.4933219800000002</v>
      </c>
      <c r="L12">
        <v>2.512837266</v>
      </c>
      <c r="M12">
        <v>2.5943144020000002</v>
      </c>
      <c r="N12">
        <v>2.8510826209999998</v>
      </c>
      <c r="O12">
        <v>3.1534376110000002</v>
      </c>
      <c r="P12">
        <v>3.4837904759999998</v>
      </c>
      <c r="Q12">
        <v>3.784953486</v>
      </c>
      <c r="R12">
        <v>4.058965733</v>
      </c>
      <c r="S12">
        <v>4.3864608619999998</v>
      </c>
      <c r="T12">
        <v>4.6819026899999994</v>
      </c>
      <c r="U12">
        <v>4.9938445749999998</v>
      </c>
      <c r="V12">
        <v>5.1842529170000002</v>
      </c>
      <c r="W12">
        <v>5.414199355</v>
      </c>
      <c r="X12">
        <v>5.6363324410000004</v>
      </c>
      <c r="Y12">
        <v>5.7397036239999997</v>
      </c>
      <c r="Z12">
        <v>5.9088129219999992</v>
      </c>
      <c r="AA12">
        <v>6.0783686400000008</v>
      </c>
      <c r="AB12">
        <v>6.1523059880000002</v>
      </c>
      <c r="AC12">
        <v>6.3366741830000004</v>
      </c>
      <c r="AD12">
        <v>6.5648673630000003</v>
      </c>
      <c r="AE12">
        <v>6.7555961560000002</v>
      </c>
      <c r="AF12">
        <v>6.9612599189999997</v>
      </c>
      <c r="AG12">
        <v>7.1031344919999997</v>
      </c>
      <c r="AH12">
        <v>7.3271830419999997</v>
      </c>
      <c r="AI12">
        <v>7.4461124969999997</v>
      </c>
      <c r="AJ12">
        <v>7.6644060409999994</v>
      </c>
      <c r="AK12">
        <v>7.8864689529999996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3D92-8DBE-D443-8B24-6D98EE7F844C}">
  <dimension ref="A1:AK3"/>
  <sheetViews>
    <sheetView workbookViewId="0">
      <selection activeCell="B4" sqref="B4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4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5</v>
      </c>
      <c r="B2" cm="1">
        <f t="array" ref="B2:AK2">'[1]Auto lifespan from Greene'!$AZ$330:$CI$330</f>
        <v>62.315530299999999</v>
      </c>
      <c r="C2">
        <v>64.903195749999995</v>
      </c>
      <c r="D2">
        <v>67.017074750000006</v>
      </c>
      <c r="E2">
        <v>69.474552649999993</v>
      </c>
      <c r="F2">
        <v>70.803261399999997</v>
      </c>
      <c r="G2">
        <v>71.11250785</v>
      </c>
      <c r="H2">
        <v>71.829040179999993</v>
      </c>
      <c r="I2">
        <v>71.394416989999996</v>
      </c>
      <c r="J2">
        <v>71.492104709999992</v>
      </c>
      <c r="K2">
        <v>72.373139850000001</v>
      </c>
      <c r="L2">
        <v>72.508993369999999</v>
      </c>
      <c r="M2">
        <v>73.703099189999989</v>
      </c>
      <c r="N2">
        <v>77.823247050000006</v>
      </c>
      <c r="O2">
        <v>82.07457737</v>
      </c>
      <c r="P2">
        <v>87.344546159999993</v>
      </c>
      <c r="Q2">
        <v>91.488968900000003</v>
      </c>
      <c r="R2">
        <v>95.494080210000007</v>
      </c>
      <c r="S2">
        <v>100.12241877</v>
      </c>
      <c r="T2">
        <v>104.43460833</v>
      </c>
      <c r="U2">
        <v>108.58432171</v>
      </c>
      <c r="V2">
        <v>111.12740619</v>
      </c>
      <c r="W2">
        <v>114.09159241</v>
      </c>
      <c r="X2">
        <v>117.22006833999998</v>
      </c>
      <c r="Y2">
        <v>118.55868709000001</v>
      </c>
      <c r="Z2">
        <v>121.47262014</v>
      </c>
      <c r="AA2">
        <v>124.64096871000001</v>
      </c>
      <c r="AB2">
        <v>126.67928107</v>
      </c>
      <c r="AC2">
        <v>130.78425673999999</v>
      </c>
      <c r="AD2">
        <v>135.57507299</v>
      </c>
      <c r="AE2">
        <v>140.11717272999999</v>
      </c>
      <c r="AF2">
        <v>144.99521806999999</v>
      </c>
      <c r="AG2">
        <v>149.36011897</v>
      </c>
      <c r="AH2">
        <v>155.17598031</v>
      </c>
      <c r="AI2">
        <v>159.57178124000001</v>
      </c>
      <c r="AJ2">
        <v>165.66584849999998</v>
      </c>
      <c r="AK2">
        <v>172.18401854000001</v>
      </c>
    </row>
    <row r="3" spans="1:37" x14ac:dyDescent="0.2">
      <c r="A3" t="s">
        <v>6</v>
      </c>
      <c r="B3" cm="1">
        <f t="array" ref="B3:AK3">'[1]Auto lifespan from Greene'!$AZ$331:$CI$331</f>
        <v>23.0490168</v>
      </c>
      <c r="C3">
        <v>24.006213299999999</v>
      </c>
      <c r="D3">
        <v>24.78784315</v>
      </c>
      <c r="E3">
        <v>25.696536699999999</v>
      </c>
      <c r="F3">
        <v>26.1882795</v>
      </c>
      <c r="G3">
        <v>26.302648300000001</v>
      </c>
      <c r="H3">
        <v>26.567425780000001</v>
      </c>
      <c r="I3">
        <v>26.406384129999999</v>
      </c>
      <c r="J3">
        <v>26.442930529999998</v>
      </c>
      <c r="K3">
        <v>26.7686934</v>
      </c>
      <c r="L3">
        <v>26.818563820000001</v>
      </c>
      <c r="M3">
        <v>27.260297120000001</v>
      </c>
      <c r="N3">
        <v>28.784562469999997</v>
      </c>
      <c r="O3">
        <v>30.356564349999999</v>
      </c>
      <c r="P3">
        <v>32.305828059999996</v>
      </c>
      <c r="Q3">
        <v>33.838620540000001</v>
      </c>
      <c r="R3">
        <v>35.319941710000002</v>
      </c>
      <c r="S3">
        <v>37.031654340000003</v>
      </c>
      <c r="T3">
        <v>38.626577339999997</v>
      </c>
      <c r="U3">
        <v>40.161423060000004</v>
      </c>
      <c r="V3">
        <v>41.10220288</v>
      </c>
      <c r="W3">
        <v>42.198385889999997</v>
      </c>
      <c r="X3">
        <v>43.355452909999997</v>
      </c>
      <c r="Y3">
        <v>43.85051404</v>
      </c>
      <c r="Z3">
        <v>44.928121470000001</v>
      </c>
      <c r="AA3">
        <v>46.099927369999996</v>
      </c>
      <c r="AB3">
        <v>46.853865549999995</v>
      </c>
      <c r="AC3">
        <v>48.372037739999996</v>
      </c>
      <c r="AD3">
        <v>50.143775519999998</v>
      </c>
      <c r="AE3">
        <v>51.823780249999999</v>
      </c>
      <c r="AF3">
        <v>53.62797037</v>
      </c>
      <c r="AG3">
        <v>55.242192729999999</v>
      </c>
      <c r="AH3">
        <v>57.393681379999997</v>
      </c>
      <c r="AI3">
        <v>59.019284139999996</v>
      </c>
      <c r="AJ3">
        <v>61.273195279999996</v>
      </c>
      <c r="AK3">
        <v>63.68382416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7070-157C-2641-854D-7DAF682D6C19}">
  <dimension ref="A1:AK2"/>
  <sheetViews>
    <sheetView workbookViewId="0">
      <selection activeCell="B3" sqref="B3"/>
    </sheetView>
  </sheetViews>
  <sheetFormatPr baseColWidth="10" defaultRowHeight="16" x14ac:dyDescent="0.2"/>
  <cols>
    <col min="1" max="1" width="15.6640625" bestFit="1" customWidth="1"/>
  </cols>
  <sheetData>
    <row r="1" spans="1:37" x14ac:dyDescent="0.2">
      <c r="A1" t="s">
        <v>4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7</v>
      </c>
      <c r="B2" cm="1">
        <f t="array" ref="B2:AK2">'[1]Auto lifespan from Greene'!$AZ$332:$CI$332</f>
        <v>23.509114400000001</v>
      </c>
      <c r="C2">
        <v>24.1162381</v>
      </c>
      <c r="D2">
        <v>24.53727125</v>
      </c>
      <c r="E2">
        <v>24.906297799999997</v>
      </c>
      <c r="F2">
        <v>24.849311100000001</v>
      </c>
      <c r="G2">
        <v>24.51951815</v>
      </c>
      <c r="H2">
        <v>24.211184029999998</v>
      </c>
      <c r="I2">
        <v>23.498263829999999</v>
      </c>
      <c r="J2">
        <v>22.803039982000001</v>
      </c>
      <c r="K2">
        <v>22.296421686999999</v>
      </c>
      <c r="L2">
        <v>21.598268355999998</v>
      </c>
      <c r="M2">
        <v>21.142548941999998</v>
      </c>
      <c r="N2">
        <v>21.240081954000001</v>
      </c>
      <c r="O2">
        <v>21.546628163000001</v>
      </c>
      <c r="P2">
        <v>21.977713719999997</v>
      </c>
      <c r="Q2">
        <v>22.24997969</v>
      </c>
      <c r="R2">
        <v>22.536804262</v>
      </c>
      <c r="S2">
        <v>23.108027039</v>
      </c>
      <c r="T2">
        <v>23.716622450999999</v>
      </c>
      <c r="U2">
        <v>24.264985070999998</v>
      </c>
      <c r="V2">
        <v>24.478108683999999</v>
      </c>
      <c r="W2">
        <v>24.844302149000001</v>
      </c>
      <c r="X2">
        <v>25.267607051999999</v>
      </c>
      <c r="Y2">
        <v>25.360429623000002</v>
      </c>
      <c r="Z2">
        <v>25.841573079</v>
      </c>
      <c r="AA2">
        <v>26.468612388</v>
      </c>
      <c r="AB2">
        <v>26.945755988999998</v>
      </c>
      <c r="AC2">
        <v>27.734609020000001</v>
      </c>
      <c r="AD2">
        <v>28.763519070000001</v>
      </c>
      <c r="AE2">
        <v>29.82094068</v>
      </c>
      <c r="AF2">
        <v>31.091711539999999</v>
      </c>
      <c r="AG2">
        <v>32.086811499999996</v>
      </c>
      <c r="AH2">
        <v>33.386789559999997</v>
      </c>
      <c r="AI2">
        <v>34.397536770000002</v>
      </c>
      <c r="AJ2">
        <v>35.818549779999998</v>
      </c>
      <c r="AK2">
        <v>37.332741689999999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F188-A780-2245-84BA-939FCB9ED514}">
  <dimension ref="A1:AK4"/>
  <sheetViews>
    <sheetView workbookViewId="0">
      <selection activeCell="B5" sqref="B5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4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8</v>
      </c>
      <c r="B2" cm="1">
        <f t="array" ref="B2:AK2">'[3]Transport. LDVs (Greene)'!$AZ303:$CI303</f>
        <v>145.34738949999999</v>
      </c>
      <c r="C2">
        <v>148.9148442</v>
      </c>
      <c r="D2">
        <v>151.2001502</v>
      </c>
      <c r="E2">
        <v>153.65823399999999</v>
      </c>
      <c r="F2">
        <v>153.3070166</v>
      </c>
      <c r="G2">
        <v>150.50645400000002</v>
      </c>
      <c r="H2">
        <v>147.79584704999999</v>
      </c>
      <c r="I2">
        <v>143.19558377000001</v>
      </c>
      <c r="J2">
        <v>139.11565628</v>
      </c>
      <c r="K2">
        <v>136.05303394999999</v>
      </c>
      <c r="L2">
        <v>131.55372374000001</v>
      </c>
      <c r="M2">
        <v>128.81943904000002</v>
      </c>
      <c r="N2">
        <v>129.30873700000001</v>
      </c>
      <c r="O2">
        <v>130.26913812999999</v>
      </c>
      <c r="P2">
        <v>131.91287384</v>
      </c>
      <c r="Q2">
        <v>132.35851460000001</v>
      </c>
      <c r="R2">
        <v>132.29597878999999</v>
      </c>
      <c r="S2">
        <v>133.27524399999999</v>
      </c>
      <c r="T2">
        <v>133.88048741</v>
      </c>
      <c r="U2">
        <v>134.55232203</v>
      </c>
      <c r="V2">
        <v>132.73173034999999</v>
      </c>
      <c r="W2">
        <v>131.30548091</v>
      </c>
      <c r="X2">
        <v>130.11170468</v>
      </c>
      <c r="Y2">
        <v>126.76340818</v>
      </c>
      <c r="Z2">
        <v>125.11237227999999</v>
      </c>
      <c r="AA2">
        <v>123.73322776000001</v>
      </c>
      <c r="AB2">
        <v>121.42221910000001</v>
      </c>
      <c r="AC2">
        <v>121.01942507000001</v>
      </c>
      <c r="AD2">
        <v>121.36195859</v>
      </c>
      <c r="AE2">
        <v>121.72916739999999</v>
      </c>
      <c r="AF2">
        <v>122.10734929</v>
      </c>
      <c r="AG2">
        <v>121.94432513</v>
      </c>
      <c r="AH2">
        <v>123.12446295000001</v>
      </c>
      <c r="AI2">
        <v>123.14461219</v>
      </c>
      <c r="AJ2">
        <v>124.98452257</v>
      </c>
      <c r="AK2">
        <v>127.10597418</v>
      </c>
    </row>
    <row r="3" spans="1:37" x14ac:dyDescent="0.2">
      <c r="A3" t="s">
        <v>9</v>
      </c>
      <c r="B3" cm="1">
        <f t="array" ref="B3:AK3">'[3]Transport. LDVs (Greene)'!$AZ304:$CI304</f>
        <v>290.694007</v>
      </c>
      <c r="C3">
        <v>297.82933650000001</v>
      </c>
      <c r="D3">
        <v>302.40027399999997</v>
      </c>
      <c r="E3">
        <v>307.31604520000002</v>
      </c>
      <c r="F3">
        <v>306.61423009999999</v>
      </c>
      <c r="G3">
        <v>301.01382969999997</v>
      </c>
      <c r="H3">
        <v>295.59277129999998</v>
      </c>
      <c r="I3">
        <v>286.39175979999999</v>
      </c>
      <c r="J3">
        <v>278.23248710000001</v>
      </c>
      <c r="K3">
        <v>272.10720890000005</v>
      </c>
      <c r="L3">
        <v>263.10884520000002</v>
      </c>
      <c r="M3">
        <v>257.64011169999998</v>
      </c>
      <c r="N3">
        <v>258.61918509999998</v>
      </c>
      <c r="O3">
        <v>260.53903859999997</v>
      </c>
      <c r="P3">
        <v>263.82715660000002</v>
      </c>
      <c r="Q3">
        <v>264.71846069999998</v>
      </c>
      <c r="R3">
        <v>264.59289093000001</v>
      </c>
      <c r="S3">
        <v>266.55131720000003</v>
      </c>
      <c r="T3">
        <v>267.76236606999998</v>
      </c>
      <c r="U3">
        <v>269.10660853999997</v>
      </c>
      <c r="V3">
        <v>265.46514531000003</v>
      </c>
      <c r="W3">
        <v>262.61219913000002</v>
      </c>
      <c r="X3">
        <v>260.22481662000001</v>
      </c>
      <c r="Y3">
        <v>253.52774128999999</v>
      </c>
      <c r="Z3">
        <v>250.22598474</v>
      </c>
      <c r="AA3">
        <v>247.46682999000001</v>
      </c>
      <c r="AB3">
        <v>242.84502424999999</v>
      </c>
      <c r="AC3">
        <v>242.03956205</v>
      </c>
      <c r="AD3">
        <v>242.72430180000001</v>
      </c>
      <c r="AE3">
        <v>243.45849289999998</v>
      </c>
      <c r="AF3">
        <v>244.21534690000001</v>
      </c>
      <c r="AG3">
        <v>243.8896871</v>
      </c>
      <c r="AH3">
        <v>246.24935529999999</v>
      </c>
      <c r="AI3">
        <v>246.2897442</v>
      </c>
      <c r="AJ3">
        <v>249.96892099999999</v>
      </c>
      <c r="AK3">
        <v>254.21222469999998</v>
      </c>
    </row>
    <row r="4" spans="1:37" x14ac:dyDescent="0.2">
      <c r="A4" t="s">
        <v>10</v>
      </c>
      <c r="B4" cm="1">
        <f t="array" ref="B4:AK4">'[3]Transport. LDVs (Greene)'!$AZ305:$CI305</f>
        <v>602.15155389999995</v>
      </c>
      <c r="C4">
        <v>616.93149080000001</v>
      </c>
      <c r="D4">
        <v>626.40004700000009</v>
      </c>
      <c r="E4">
        <v>636.5824245</v>
      </c>
      <c r="F4">
        <v>635.12858249999999</v>
      </c>
      <c r="G4">
        <v>623.52750760000004</v>
      </c>
      <c r="H4">
        <v>612.29754079999998</v>
      </c>
      <c r="I4">
        <v>593.23906479999994</v>
      </c>
      <c r="J4">
        <v>576.33829349999996</v>
      </c>
      <c r="K4">
        <v>563.65006219999998</v>
      </c>
      <c r="L4">
        <v>545.00986309999996</v>
      </c>
      <c r="M4">
        <v>533.68194199999994</v>
      </c>
      <c r="N4">
        <v>535.70994500000006</v>
      </c>
      <c r="O4">
        <v>539.68758730000002</v>
      </c>
      <c r="P4">
        <v>546.49810380000008</v>
      </c>
      <c r="Q4">
        <v>548.34492350000005</v>
      </c>
      <c r="R4">
        <v>548.08477850000008</v>
      </c>
      <c r="S4">
        <v>552.14204339999992</v>
      </c>
      <c r="T4">
        <v>554.6492452</v>
      </c>
      <c r="U4">
        <v>557.43457890000002</v>
      </c>
      <c r="V4">
        <v>549.89140550000002</v>
      </c>
      <c r="W4">
        <v>543.9814672</v>
      </c>
      <c r="X4">
        <v>539.03658500000006</v>
      </c>
      <c r="Y4">
        <v>525.16494490000002</v>
      </c>
      <c r="Z4">
        <v>518.32475999999997</v>
      </c>
      <c r="AA4">
        <v>512.6105513</v>
      </c>
      <c r="AB4">
        <v>503.03724820000002</v>
      </c>
      <c r="AC4">
        <v>501.36880050000002</v>
      </c>
      <c r="AD4">
        <v>502.78706169999998</v>
      </c>
      <c r="AE4">
        <v>504.3080817</v>
      </c>
      <c r="AF4">
        <v>505.87582960000003</v>
      </c>
      <c r="AG4">
        <v>505.20121979999999</v>
      </c>
      <c r="AH4">
        <v>510.08911469999998</v>
      </c>
      <c r="AI4">
        <v>510.17343110000002</v>
      </c>
      <c r="AJ4">
        <v>517.79469330000006</v>
      </c>
      <c r="AK4">
        <v>526.58376190000001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2024-12-03T18:42:18Z</dcterms:created>
  <dcterms:modified xsi:type="dcterms:W3CDTF">2026-03-06T20:04:51Z</dcterms:modified>
</cp:coreProperties>
</file>