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40B1726D-3D7A-C94B-9F68-908441B818F2}" xr6:coauthVersionLast="47" xr6:coauthVersionMax="47" xr10:uidLastSave="{00000000-0000-0000-0000-000000000000}"/>
  <bookViews>
    <workbookView xWindow="-20" yWindow="13820" windowWidth="25600" windowHeight="13200" xr2:uid="{9356C19C-0FED-A04C-B4C3-A2B8685AB539}"/>
  </bookViews>
  <sheets>
    <sheet name="Shee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 a="1"/>
  <c r="B8" i="1" s="1"/>
  <c r="B7" i="1" a="1"/>
  <c r="B7" i="1" s="1"/>
  <c r="B4" i="1" a="1"/>
  <c r="B4" i="1" s="1"/>
  <c r="B6" i="1" a="1"/>
  <c r="B6" i="1" s="1"/>
  <c r="B5" i="1" a="1"/>
  <c r="B5" i="1" s="1"/>
  <c r="B3" i="1" a="1"/>
  <c r="B3" i="1" s="1"/>
  <c r="B2" i="1" a="1"/>
  <c r="B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Alissa Tsai</author>
  </authors>
  <commentList>
    <comment ref="A1" authorId="0" shapeId="0" xr:uid="{0E14879B-D9D7-AA4F-A3CA-B6CFE93E0FBE}">
      <text>
        <r>
          <rPr>
            <b/>
            <sz val="10"/>
            <color rgb="FF000000"/>
            <rFont val="Tahoma"/>
            <family val="2"/>
          </rPr>
          <t>Alissa Tsai: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Data from "Automotive aluminum DMFA revised 01102024"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<sst xmlns="http://schemas.openxmlformats.org/spreadsheetml/2006/main" count="8" uniqueCount="8">
  <si>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Alloy</t>
  </si>
  <si>
    <t>Auto Sheet 5xxx</t>
  </si>
  <si>
    <t>Auto Sheet 6xxx 6005C</t>
  </si>
  <si>
    <t>Auto Sheet 6xxx 6016</t>
  </si>
  <si>
    <t>Auto Sheet Ford Low Mg</t>
  </si>
  <si>
    <t>Auto Sheet Ford High Mg</t>
  </si>
  <si>
    <t>Auto Sheet Ford Low Cu</t>
  </si>
  <si>
    <t>Auto Sheet Ford High 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</si>
</sst>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0_);_(* \(#,##0.000\);_(* &quot;-&quot;??_);_(@_)"/>
  </numFmts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03.26%20Auto%20DMFA.xlsx" TargetMode="External"/><Relationship Id="rId1" Type="http://schemas.openxmlformats.org/officeDocument/2006/relationships/externalLinkPath" Target="03.26%20Auto%20DMF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port. LDVs (Liao)"/>
      <sheetName val="Transport. LDVs (Greene)"/>
    </sheetNames>
    <sheetDataSet>
      <sheetData sheetId="0">
        <row r="1591">
          <cell r="AZ1591">
            <v>38.791233593740863</v>
          </cell>
          <cell r="BA1591">
            <v>56.419505053317344</v>
          </cell>
          <cell r="BB1591">
            <v>46.884802655225087</v>
          </cell>
          <cell r="BC1591">
            <v>48.511368811112348</v>
          </cell>
          <cell r="BD1591">
            <v>59.214510311447505</v>
          </cell>
          <cell r="BE1591">
            <v>35.592188759147845</v>
          </cell>
          <cell r="BF1591">
            <v>36.490702410536642</v>
          </cell>
          <cell r="BG1591">
            <v>37.389027061925447</v>
          </cell>
          <cell r="BH1591">
            <v>38.287471813314255</v>
          </cell>
          <cell r="BI1591">
            <v>39.185985464703059</v>
          </cell>
          <cell r="BJ1591">
            <v>40.08443021609186</v>
          </cell>
          <cell r="BK1591">
            <v>40.08443021609186</v>
          </cell>
          <cell r="BL1591">
            <v>40.08443021609186</v>
          </cell>
          <cell r="BM1591">
            <v>40.08443021609186</v>
          </cell>
          <cell r="BN1591">
            <v>40.08443021609186</v>
          </cell>
          <cell r="BO1591">
            <v>40.08443021609186</v>
          </cell>
          <cell r="BP1591">
            <v>40.08443021609186</v>
          </cell>
          <cell r="BQ1591">
            <v>40.08443021609186</v>
          </cell>
          <cell r="BR1591">
            <v>40.08443021609186</v>
          </cell>
          <cell r="BS1591">
            <v>40.08443021609186</v>
          </cell>
          <cell r="BT1591">
            <v>40.08443021609186</v>
          </cell>
          <cell r="BU1591">
            <v>40.08443021609186</v>
          </cell>
          <cell r="BV1591">
            <v>40.08443021609186</v>
          </cell>
          <cell r="BW1591">
            <v>40.08443021609186</v>
          </cell>
          <cell r="BX1591">
            <v>40.08443021609186</v>
          </cell>
          <cell r="BY1591">
            <v>40.08443021609186</v>
          </cell>
          <cell r="BZ1591">
            <v>40.08443021609186</v>
          </cell>
          <cell r="CA1591">
            <v>40.08443021609186</v>
          </cell>
          <cell r="CB1591">
            <v>40.08443021609186</v>
          </cell>
          <cell r="CC1591">
            <v>40.08443021609186</v>
          </cell>
          <cell r="CD1591">
            <v>40.08443021609186</v>
          </cell>
          <cell r="CE1591">
            <v>40.08443021609186</v>
          </cell>
          <cell r="CF1591">
            <v>40.08443021609186</v>
          </cell>
          <cell r="CG1591">
            <v>40.08443021609186</v>
          </cell>
          <cell r="CH1591">
            <v>40.08443021609186</v>
          </cell>
          <cell r="CI1591">
            <v>40.08443021609186</v>
          </cell>
        </row>
        <row r="1592">
          <cell r="AZ1592">
            <v>16.469365499999999</v>
          </cell>
          <cell r="BA1592">
            <v>18.357160499999999</v>
          </cell>
          <cell r="BB1592">
            <v>25.4324385</v>
          </cell>
          <cell r="BC1592">
            <v>31.674395000000001</v>
          </cell>
          <cell r="BD1592">
            <v>32.632829399999999</v>
          </cell>
          <cell r="BE1592">
            <v>33.429067100000005</v>
          </cell>
          <cell r="BF1592">
            <v>34.225263000000005</v>
          </cell>
          <cell r="BG1592">
            <v>35.021574000000001</v>
          </cell>
          <cell r="BH1592">
            <v>35.8178117</v>
          </cell>
          <cell r="BI1592">
            <v>36.614007600000001</v>
          </cell>
          <cell r="BJ1592">
            <v>37.4102453</v>
          </cell>
          <cell r="BK1592">
            <v>37.4102453</v>
          </cell>
          <cell r="BL1592">
            <v>37.4102453</v>
          </cell>
          <cell r="BM1592">
            <v>37.4102453</v>
          </cell>
          <cell r="BN1592">
            <v>37.4102453</v>
          </cell>
          <cell r="BO1592">
            <v>37.4102453</v>
          </cell>
          <cell r="BP1592">
            <v>37.4102453</v>
          </cell>
          <cell r="BQ1592">
            <v>37.4102453</v>
          </cell>
          <cell r="BR1592">
            <v>37.4102453</v>
          </cell>
          <cell r="BS1592">
            <v>37.4102453</v>
          </cell>
          <cell r="BT1592">
            <v>37.4102453</v>
          </cell>
          <cell r="BU1592">
            <v>37.4102453</v>
          </cell>
          <cell r="BV1592">
            <v>37.4102453</v>
          </cell>
          <cell r="BW1592">
            <v>37.4102453</v>
          </cell>
          <cell r="BX1592">
            <v>37.4102453</v>
          </cell>
          <cell r="BY1592">
            <v>37.4102453</v>
          </cell>
          <cell r="BZ1592">
            <v>37.4102453</v>
          </cell>
          <cell r="CA1592">
            <v>37.4102453</v>
          </cell>
          <cell r="CB1592">
            <v>37.4102453</v>
          </cell>
          <cell r="CC1592">
            <v>37.4102453</v>
          </cell>
          <cell r="CD1592">
            <v>37.4102453</v>
          </cell>
          <cell r="CE1592">
            <v>37.4102453</v>
          </cell>
          <cell r="CF1592">
            <v>37.4102453</v>
          </cell>
          <cell r="CG1592">
            <v>37.4102453</v>
          </cell>
          <cell r="CH1592">
            <v>37.4102453</v>
          </cell>
          <cell r="CI1592">
            <v>37.4102453</v>
          </cell>
        </row>
        <row r="1593">
          <cell r="AZ1593">
            <v>10.299888900000001</v>
          </cell>
          <cell r="BA1593">
            <v>11.480509899999999</v>
          </cell>
          <cell r="BB1593">
            <v>15.905366299999999</v>
          </cell>
          <cell r="BC1593">
            <v>19.878551000000002</v>
          </cell>
          <cell r="BD1593">
            <v>20.509175999999997</v>
          </cell>
          <cell r="BE1593">
            <v>21.009597899999996</v>
          </cell>
          <cell r="BF1593">
            <v>21.509992700000002</v>
          </cell>
          <cell r="BG1593">
            <v>22.010461399999997</v>
          </cell>
          <cell r="BH1593">
            <v>22.510883299999996</v>
          </cell>
          <cell r="BI1593">
            <v>23.011278099999998</v>
          </cell>
          <cell r="BJ1593">
            <v>23.511700000000001</v>
          </cell>
          <cell r="BK1593">
            <v>23.511700000000001</v>
          </cell>
          <cell r="BL1593">
            <v>23.511700000000001</v>
          </cell>
          <cell r="BM1593">
            <v>23.511700000000001</v>
          </cell>
          <cell r="BN1593">
            <v>23.511700000000001</v>
          </cell>
          <cell r="BO1593">
            <v>23.511700000000001</v>
          </cell>
          <cell r="BP1593">
            <v>23.511700000000001</v>
          </cell>
          <cell r="BQ1593">
            <v>23.511700000000001</v>
          </cell>
          <cell r="BR1593">
            <v>23.511700000000001</v>
          </cell>
          <cell r="BS1593">
            <v>23.511700000000001</v>
          </cell>
          <cell r="BT1593">
            <v>23.511700000000001</v>
          </cell>
          <cell r="BU1593">
            <v>23.511700000000001</v>
          </cell>
          <cell r="BV1593">
            <v>23.511700000000001</v>
          </cell>
          <cell r="BW1593">
            <v>23.511700000000001</v>
          </cell>
          <cell r="BX1593">
            <v>23.511700000000001</v>
          </cell>
          <cell r="BY1593">
            <v>23.511700000000001</v>
          </cell>
          <cell r="BZ1593">
            <v>23.511700000000001</v>
          </cell>
          <cell r="CA1593">
            <v>23.511700000000001</v>
          </cell>
          <cell r="CB1593">
            <v>23.511700000000001</v>
          </cell>
          <cell r="CC1593">
            <v>23.511700000000001</v>
          </cell>
          <cell r="CD1593">
            <v>23.511700000000001</v>
          </cell>
          <cell r="CE1593">
            <v>23.511700000000001</v>
          </cell>
          <cell r="CF1593">
            <v>23.511700000000001</v>
          </cell>
          <cell r="CG1593">
            <v>23.511700000000001</v>
          </cell>
          <cell r="CH1593">
            <v>23.511700000000001</v>
          </cell>
          <cell r="CI1593">
            <v>23.511700000000001</v>
          </cell>
        </row>
        <row r="1594">
          <cell r="AZ1594">
            <v>74.170011983392712</v>
          </cell>
          <cell r="BA1594">
            <v>117.32683696483224</v>
          </cell>
          <cell r="BB1594">
            <v>80.311832421427681</v>
          </cell>
          <cell r="BC1594">
            <v>77.210083409538043</v>
          </cell>
          <cell r="BD1594">
            <v>105.15144103383648</v>
          </cell>
          <cell r="BE1594">
            <v>41.815487812341104</v>
          </cell>
          <cell r="BF1594">
            <v>42.944941148381787</v>
          </cell>
          <cell r="BG1594">
            <v>44.073790484422489</v>
          </cell>
          <cell r="BH1594">
            <v>45.203035720463191</v>
          </cell>
          <cell r="BI1594">
            <v>46.332489056503817</v>
          </cell>
          <cell r="BJ1594">
            <v>47.461734292544492</v>
          </cell>
          <cell r="BK1594">
            <v>47.461734292544492</v>
          </cell>
          <cell r="BL1594">
            <v>47.461734292544492</v>
          </cell>
          <cell r="BM1594">
            <v>47.461734292544492</v>
          </cell>
          <cell r="BN1594">
            <v>47.461734292544492</v>
          </cell>
          <cell r="BO1594">
            <v>47.461734292544492</v>
          </cell>
          <cell r="BP1594">
            <v>47.461734292544492</v>
          </cell>
          <cell r="BQ1594">
            <v>47.461734292544492</v>
          </cell>
          <cell r="BR1594">
            <v>47.461734292544492</v>
          </cell>
          <cell r="BS1594">
            <v>47.461734292544492</v>
          </cell>
          <cell r="BT1594">
            <v>47.461734292544492</v>
          </cell>
          <cell r="BU1594">
            <v>47.461734292544492</v>
          </cell>
          <cell r="BV1594">
            <v>47.461734292544492</v>
          </cell>
          <cell r="BW1594">
            <v>47.461734292544492</v>
          </cell>
          <cell r="BX1594">
            <v>47.461734292544492</v>
          </cell>
          <cell r="BY1594">
            <v>47.461734292544492</v>
          </cell>
          <cell r="BZ1594">
            <v>47.461734292544492</v>
          </cell>
          <cell r="CA1594">
            <v>47.461734292544492</v>
          </cell>
          <cell r="CB1594">
            <v>47.461734292544492</v>
          </cell>
          <cell r="CC1594">
            <v>47.461734292544492</v>
          </cell>
          <cell r="CD1594">
            <v>47.461734292544492</v>
          </cell>
          <cell r="CE1594">
            <v>47.461734292544492</v>
          </cell>
          <cell r="CF1594">
            <v>47.461734292544492</v>
          </cell>
          <cell r="CG1594">
            <v>47.461734292544492</v>
          </cell>
          <cell r="CH1594">
            <v>47.461734292544492</v>
          </cell>
          <cell r="CI1594">
            <v>47.461734292544492</v>
          </cell>
        </row>
        <row r="1595">
          <cell r="AZ1595">
            <v>48.414706199999998</v>
          </cell>
          <cell r="BA1595">
            <v>53.964224199999997</v>
          </cell>
          <cell r="BB1595">
            <v>74.76329539999999</v>
          </cell>
          <cell r="BC1595">
            <v>88.938208000000003</v>
          </cell>
          <cell r="BD1595">
            <v>89.879901000000004</v>
          </cell>
          <cell r="BE1595">
            <v>92.072955199999996</v>
          </cell>
          <cell r="BF1595">
            <v>94.265944099999999</v>
          </cell>
          <cell r="BG1595">
            <v>96.459156199999995</v>
          </cell>
          <cell r="BH1595">
            <v>98.652210399999987</v>
          </cell>
          <cell r="BI1595">
            <v>100.84519929999999</v>
          </cell>
          <cell r="BJ1595">
            <v>103.0382535</v>
          </cell>
          <cell r="BK1595">
            <v>103.0382535</v>
          </cell>
          <cell r="BL1595">
            <v>103.0382535</v>
          </cell>
          <cell r="BM1595">
            <v>103.0382535</v>
          </cell>
          <cell r="BN1595">
            <v>103.0382535</v>
          </cell>
          <cell r="BO1595">
            <v>103.0382535</v>
          </cell>
          <cell r="BP1595">
            <v>103.0382535</v>
          </cell>
          <cell r="BQ1595">
            <v>103.0382535</v>
          </cell>
          <cell r="BR1595">
            <v>103.0382535</v>
          </cell>
          <cell r="BS1595">
            <v>103.0382535</v>
          </cell>
          <cell r="BT1595">
            <v>103.0382535</v>
          </cell>
          <cell r="BU1595">
            <v>103.0382535</v>
          </cell>
          <cell r="BV1595">
            <v>103.0382535</v>
          </cell>
          <cell r="BW1595">
            <v>103.0382535</v>
          </cell>
          <cell r="BX1595">
            <v>103.0382535</v>
          </cell>
          <cell r="BY1595">
            <v>103.0382535</v>
          </cell>
          <cell r="BZ1595">
            <v>103.0382535</v>
          </cell>
          <cell r="CA1595">
            <v>103.0382535</v>
          </cell>
          <cell r="CB1595">
            <v>103.0382535</v>
          </cell>
          <cell r="CC1595">
            <v>103.0382535</v>
          </cell>
          <cell r="CD1595">
            <v>103.0382535</v>
          </cell>
          <cell r="CE1595">
            <v>103.0382535</v>
          </cell>
          <cell r="CF1595">
            <v>103.0382535</v>
          </cell>
          <cell r="CG1595">
            <v>103.0382535</v>
          </cell>
          <cell r="CH1595">
            <v>103.0382535</v>
          </cell>
          <cell r="CI1595">
            <v>103.0382535</v>
          </cell>
        </row>
        <row r="1596">
          <cell r="AZ1596">
            <v>49.774082399999998</v>
          </cell>
          <cell r="BA1596">
            <v>55.4794184</v>
          </cell>
          <cell r="BB1596">
            <v>76.8624808</v>
          </cell>
          <cell r="BC1596">
            <v>96.921216000000015</v>
          </cell>
          <cell r="BD1596">
            <v>100.35441360000002</v>
          </cell>
          <cell r="BE1596">
            <v>102.8030528</v>
          </cell>
          <cell r="BF1596">
            <v>105.2515492</v>
          </cell>
          <cell r="BG1596">
            <v>107.7004264</v>
          </cell>
          <cell r="BH1596">
            <v>110.1490656</v>
          </cell>
          <cell r="BI1596">
            <v>112.59756200000001</v>
          </cell>
          <cell r="BJ1596">
            <v>115.04620120000001</v>
          </cell>
          <cell r="BK1596">
            <v>115.04620120000001</v>
          </cell>
          <cell r="BL1596">
            <v>115.04620120000001</v>
          </cell>
          <cell r="BM1596">
            <v>115.04620120000001</v>
          </cell>
          <cell r="BN1596">
            <v>115.04620120000001</v>
          </cell>
          <cell r="BO1596">
            <v>115.04620120000001</v>
          </cell>
          <cell r="BP1596">
            <v>115.04620120000001</v>
          </cell>
          <cell r="BQ1596">
            <v>115.04620120000001</v>
          </cell>
          <cell r="BR1596">
            <v>115.04620120000001</v>
          </cell>
          <cell r="BS1596">
            <v>115.04620120000001</v>
          </cell>
          <cell r="BT1596">
            <v>115.04620120000001</v>
          </cell>
          <cell r="BU1596">
            <v>115.04620120000001</v>
          </cell>
          <cell r="BV1596">
            <v>115.04620120000001</v>
          </cell>
          <cell r="BW1596">
            <v>115.04620120000001</v>
          </cell>
          <cell r="BX1596">
            <v>115.04620120000001</v>
          </cell>
          <cell r="BY1596">
            <v>115.04620120000001</v>
          </cell>
          <cell r="BZ1596">
            <v>115.04620120000001</v>
          </cell>
          <cell r="CA1596">
            <v>115.04620120000001</v>
          </cell>
          <cell r="CB1596">
            <v>115.04620120000001</v>
          </cell>
          <cell r="CC1596">
            <v>115.04620120000001</v>
          </cell>
          <cell r="CD1596">
            <v>115.04620120000001</v>
          </cell>
          <cell r="CE1596">
            <v>115.04620120000001</v>
          </cell>
          <cell r="CF1596">
            <v>115.04620120000001</v>
          </cell>
          <cell r="CG1596">
            <v>115.04620120000001</v>
          </cell>
          <cell r="CH1596">
            <v>115.04620120000001</v>
          </cell>
          <cell r="CI1596">
            <v>115.04620120000001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264BD-BA1A-B349-B5B4-2059FE0D5E2A}">
  <dimension ref="A1:AK8"/>
  <sheetViews>
    <sheetView tabSelected="1" zoomScale="1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0" sqref="B10"/>
    </sheetView>
  </sheetViews>
  <sheetFormatPr baseColWidth="10" defaultRowHeight="16" x14ac:dyDescent="0.2"/>
  <cols>
    <col min="1" max="1" width="17" bestFit="1" customWidth="1"/>
    <col min="2" max="2" width="11.6640625" bestFit="1" customWidth="1"/>
  </cols>
  <sheetData>
    <row r="1" spans="1:37" x14ac:dyDescent="0.2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">
      <c r="A2" t="s">
        <v>1</v>
      </c>
      <c r="B2" s="1" cm="1">
        <f t="array" ref="B2:AK2">'[1]Transport. LDVs (Liao)'!$AZ1591:$CI1591 / 0.44</f>
        <v>88.161894531229237</v>
      </c>
      <c r="C2" s="1">
        <v>128.22614784844851</v>
      </c>
      <c r="D2" s="1">
        <v>106.55636967096611</v>
      </c>
      <c r="E2" s="1">
        <v>110.25311093434624</v>
      </c>
      <c r="F2" s="1">
        <v>134.57843252601705</v>
      </c>
      <c r="G2" s="1">
        <v>80.891338088972375</v>
      </c>
      <c r="H2" s="1">
        <v>82.933414569401464</v>
      </c>
      <c r="I2" s="1">
        <v>84.975061504376015</v>
      </c>
      <c r="J2" s="1">
        <v>87.016981393896032</v>
      </c>
      <c r="K2" s="1">
        <v>89.059057874325134</v>
      </c>
      <c r="L2" s="1">
        <v>91.100977763845137</v>
      </c>
      <c r="M2" s="1">
        <v>91.100977763845137</v>
      </c>
      <c r="N2" s="1">
        <v>91.100977763845137</v>
      </c>
      <c r="O2" s="1">
        <v>91.100977763845137</v>
      </c>
      <c r="P2" s="1">
        <v>91.100977763845137</v>
      </c>
      <c r="Q2" s="1">
        <v>91.100977763845137</v>
      </c>
      <c r="R2" s="1">
        <v>91.100977763845137</v>
      </c>
      <c r="S2" s="1">
        <v>91.100977763845137</v>
      </c>
      <c r="T2" s="1">
        <v>91.100977763845137</v>
      </c>
      <c r="U2" s="1">
        <v>91.100977763845137</v>
      </c>
      <c r="V2" s="1">
        <v>91.100977763845137</v>
      </c>
      <c r="W2" s="1">
        <v>91.100977763845137</v>
      </c>
      <c r="X2" s="1">
        <v>91.100977763845137</v>
      </c>
      <c r="Y2" s="1">
        <v>91.100977763845137</v>
      </c>
      <c r="Z2" s="1">
        <v>91.100977763845137</v>
      </c>
      <c r="AA2" s="1">
        <v>91.100977763845137</v>
      </c>
      <c r="AB2" s="1">
        <v>91.100977763845137</v>
      </c>
      <c r="AC2" s="1">
        <v>91.100977763845137</v>
      </c>
      <c r="AD2" s="1">
        <v>91.100977763845137</v>
      </c>
      <c r="AE2" s="1">
        <v>91.100977763845137</v>
      </c>
      <c r="AF2" s="1">
        <v>91.100977763845137</v>
      </c>
      <c r="AG2" s="1">
        <v>91.100977763845137</v>
      </c>
      <c r="AH2" s="1">
        <v>91.100977763845137</v>
      </c>
      <c r="AI2" s="1">
        <v>91.100977763845137</v>
      </c>
      <c r="AJ2" s="1">
        <v>91.100977763845137</v>
      </c>
      <c r="AK2" s="1">
        <v>91.100977763845137</v>
      </c>
    </row>
    <row r="3" spans="1:37" x14ac:dyDescent="0.2">
      <c r="A3" t="s">
        <v>4</v>
      </c>
      <c r="B3" s="1" cm="1">
        <f t="array" ref="B3:AK3">'[1]Transport. LDVs (Liao)'!$AZ1592:$CI1592 / 0.44</f>
        <v>37.430376136363634</v>
      </c>
      <c r="C3" s="1">
        <v>41.720819318181817</v>
      </c>
      <c r="D3" s="1">
        <v>57.800996590909094</v>
      </c>
      <c r="E3" s="1">
        <v>71.987261363636364</v>
      </c>
      <c r="F3" s="1">
        <v>74.165521363636358</v>
      </c>
      <c r="G3" s="1">
        <v>75.975152500000007</v>
      </c>
      <c r="H3" s="1">
        <v>77.784688636363654</v>
      </c>
      <c r="I3" s="1">
        <v>79.594486363636364</v>
      </c>
      <c r="J3" s="1">
        <v>81.404117499999998</v>
      </c>
      <c r="K3" s="1">
        <v>83.213653636363631</v>
      </c>
      <c r="L3" s="1">
        <v>85.023284772727266</v>
      </c>
      <c r="M3" s="1">
        <v>85.023284772727266</v>
      </c>
      <c r="N3" s="1">
        <v>85.023284772727266</v>
      </c>
      <c r="O3" s="1">
        <v>85.023284772727266</v>
      </c>
      <c r="P3" s="1">
        <v>85.023284772727266</v>
      </c>
      <c r="Q3" s="1">
        <v>85.023284772727266</v>
      </c>
      <c r="R3" s="1">
        <v>85.023284772727266</v>
      </c>
      <c r="S3" s="1">
        <v>85.023284772727266</v>
      </c>
      <c r="T3" s="1">
        <v>85.023284772727266</v>
      </c>
      <c r="U3" s="1">
        <v>85.023284772727266</v>
      </c>
      <c r="V3" s="1">
        <v>85.023284772727266</v>
      </c>
      <c r="W3" s="1">
        <v>85.023284772727266</v>
      </c>
      <c r="X3" s="1">
        <v>85.023284772727266</v>
      </c>
      <c r="Y3" s="1">
        <v>85.023284772727266</v>
      </c>
      <c r="Z3" s="1">
        <v>85.023284772727266</v>
      </c>
      <c r="AA3" s="1">
        <v>85.023284772727266</v>
      </c>
      <c r="AB3" s="1">
        <v>85.023284772727266</v>
      </c>
      <c r="AC3" s="1">
        <v>85.023284772727266</v>
      </c>
      <c r="AD3" s="1">
        <v>85.023284772727266</v>
      </c>
      <c r="AE3" s="1">
        <v>85.023284772727266</v>
      </c>
      <c r="AF3" s="1">
        <v>85.023284772727266</v>
      </c>
      <c r="AG3" s="1">
        <v>85.023284772727266</v>
      </c>
      <c r="AH3" s="1">
        <v>85.023284772727266</v>
      </c>
      <c r="AI3" s="1">
        <v>85.023284772727266</v>
      </c>
      <c r="AJ3" s="1">
        <v>85.023284772727266</v>
      </c>
      <c r="AK3" s="1">
        <v>85.023284772727266</v>
      </c>
    </row>
    <row r="4" spans="1:37" x14ac:dyDescent="0.2">
      <c r="A4" t="s">
        <v>5</v>
      </c>
      <c r="B4" s="1" cm="1">
        <f t="array" ref="B4:AK4">'[1]Transport. LDVs (Liao)'!$AZ1593:$CI1593 / 0.44</f>
        <v>23.408838409090912</v>
      </c>
      <c r="C4" s="1">
        <v>26.092067954545453</v>
      </c>
      <c r="D4" s="1">
        <v>36.148559772727268</v>
      </c>
      <c r="E4" s="1">
        <v>45.178525</v>
      </c>
      <c r="F4" s="1">
        <v>46.611763636363627</v>
      </c>
      <c r="G4" s="1">
        <v>47.74908613636363</v>
      </c>
      <c r="H4" s="1">
        <v>48.886347045454549</v>
      </c>
      <c r="I4" s="1">
        <v>50.023775909090901</v>
      </c>
      <c r="J4" s="1">
        <v>51.161098409090897</v>
      </c>
      <c r="K4" s="1">
        <v>52.298359318181816</v>
      </c>
      <c r="L4" s="1">
        <v>53.43568181818182</v>
      </c>
      <c r="M4" s="1">
        <v>53.43568181818182</v>
      </c>
      <c r="N4" s="1">
        <v>53.43568181818182</v>
      </c>
      <c r="O4" s="1">
        <v>53.43568181818182</v>
      </c>
      <c r="P4" s="1">
        <v>53.43568181818182</v>
      </c>
      <c r="Q4" s="1">
        <v>53.43568181818182</v>
      </c>
      <c r="R4" s="1">
        <v>53.43568181818182</v>
      </c>
      <c r="S4" s="1">
        <v>53.43568181818182</v>
      </c>
      <c r="T4" s="1">
        <v>53.43568181818182</v>
      </c>
      <c r="U4" s="1">
        <v>53.43568181818182</v>
      </c>
      <c r="V4" s="1">
        <v>53.43568181818182</v>
      </c>
      <c r="W4" s="1">
        <v>53.43568181818182</v>
      </c>
      <c r="X4" s="1">
        <v>53.43568181818182</v>
      </c>
      <c r="Y4" s="1">
        <v>53.43568181818182</v>
      </c>
      <c r="Z4" s="1">
        <v>53.43568181818182</v>
      </c>
      <c r="AA4" s="1">
        <v>53.43568181818182</v>
      </c>
      <c r="AB4" s="1">
        <v>53.43568181818182</v>
      </c>
      <c r="AC4" s="1">
        <v>53.43568181818182</v>
      </c>
      <c r="AD4" s="1">
        <v>53.43568181818182</v>
      </c>
      <c r="AE4" s="1">
        <v>53.43568181818182</v>
      </c>
      <c r="AF4" s="1">
        <v>53.43568181818182</v>
      </c>
      <c r="AG4" s="1">
        <v>53.43568181818182</v>
      </c>
      <c r="AH4" s="1">
        <v>53.43568181818182</v>
      </c>
      <c r="AI4" s="1">
        <v>53.43568181818182</v>
      </c>
      <c r="AJ4" s="1">
        <v>53.43568181818182</v>
      </c>
      <c r="AK4" s="1">
        <v>53.43568181818182</v>
      </c>
    </row>
    <row r="5" spans="1:37" x14ac:dyDescent="0.2">
      <c r="A5" t="s">
        <v>2</v>
      </c>
      <c r="B5" s="1" cm="1">
        <f t="array" ref="B5:AK5">(0.5 * '[1]Transport. LDVs (Liao)'!$AZ1594:$CI1594) / 0.44</f>
        <v>84.284104526582624</v>
      </c>
      <c r="C5" s="1">
        <v>133.32595109640027</v>
      </c>
      <c r="D5" s="1">
        <v>91.263445933440551</v>
      </c>
      <c r="E5" s="1">
        <v>87.738731147202316</v>
      </c>
      <c r="F5" s="1">
        <v>119.49027390208691</v>
      </c>
      <c r="G5" s="1">
        <v>47.517599786751255</v>
      </c>
      <c r="H5" s="1">
        <v>48.801069486797488</v>
      </c>
      <c r="I5" s="1">
        <v>50.083852823207373</v>
      </c>
      <c r="J5" s="1">
        <v>51.367086045980898</v>
      </c>
      <c r="K5" s="1">
        <v>52.650555746027067</v>
      </c>
      <c r="L5" s="1">
        <v>53.933788968800556</v>
      </c>
      <c r="M5" s="1">
        <v>53.933788968800556</v>
      </c>
      <c r="N5" s="1">
        <v>53.933788968800556</v>
      </c>
      <c r="O5" s="1">
        <v>53.933788968800556</v>
      </c>
      <c r="P5" s="1">
        <v>53.933788968800556</v>
      </c>
      <c r="Q5" s="1">
        <v>53.933788968800556</v>
      </c>
      <c r="R5" s="1">
        <v>53.933788968800556</v>
      </c>
      <c r="S5" s="1">
        <v>53.933788968800556</v>
      </c>
      <c r="T5" s="1">
        <v>53.933788968800556</v>
      </c>
      <c r="U5" s="1">
        <v>53.933788968800556</v>
      </c>
      <c r="V5" s="1">
        <v>53.933788968800556</v>
      </c>
      <c r="W5" s="1">
        <v>53.933788968800556</v>
      </c>
      <c r="X5" s="1">
        <v>53.933788968800556</v>
      </c>
      <c r="Y5" s="1">
        <v>53.933788968800556</v>
      </c>
      <c r="Z5" s="1">
        <v>53.933788968800556</v>
      </c>
      <c r="AA5" s="1">
        <v>53.933788968800556</v>
      </c>
      <c r="AB5" s="1">
        <v>53.933788968800556</v>
      </c>
      <c r="AC5" s="1">
        <v>53.933788968800556</v>
      </c>
      <c r="AD5" s="1">
        <v>53.933788968800556</v>
      </c>
      <c r="AE5" s="1">
        <v>53.933788968800556</v>
      </c>
      <c r="AF5" s="1">
        <v>53.933788968800556</v>
      </c>
      <c r="AG5" s="1">
        <v>53.933788968800556</v>
      </c>
      <c r="AH5" s="1">
        <v>53.933788968800556</v>
      </c>
      <c r="AI5" s="1">
        <v>53.933788968800556</v>
      </c>
      <c r="AJ5" s="1">
        <v>53.933788968800556</v>
      </c>
      <c r="AK5" s="1">
        <v>53.933788968800556</v>
      </c>
    </row>
    <row r="6" spans="1:37" x14ac:dyDescent="0.2">
      <c r="A6" t="s">
        <v>3</v>
      </c>
      <c r="B6" s="1" cm="1">
        <f t="array" ref="B6:AK6">(0.5 * '[1]Transport. LDVs (Liao)'!$AZ1594:$CI1594) / 0.44</f>
        <v>84.284104526582624</v>
      </c>
      <c r="C6" s="1">
        <v>133.32595109640027</v>
      </c>
      <c r="D6" s="1">
        <v>91.263445933440551</v>
      </c>
      <c r="E6" s="1">
        <v>87.738731147202316</v>
      </c>
      <c r="F6" s="1">
        <v>119.49027390208691</v>
      </c>
      <c r="G6" s="1">
        <v>47.517599786751255</v>
      </c>
      <c r="H6" s="1">
        <v>48.801069486797488</v>
      </c>
      <c r="I6" s="1">
        <v>50.083852823207373</v>
      </c>
      <c r="J6" s="1">
        <v>51.367086045980898</v>
      </c>
      <c r="K6" s="1">
        <v>52.650555746027067</v>
      </c>
      <c r="L6" s="1">
        <v>53.933788968800556</v>
      </c>
      <c r="M6" s="1">
        <v>53.933788968800556</v>
      </c>
      <c r="N6" s="1">
        <v>53.933788968800556</v>
      </c>
      <c r="O6" s="1">
        <v>53.933788968800556</v>
      </c>
      <c r="P6" s="1">
        <v>53.933788968800556</v>
      </c>
      <c r="Q6" s="1">
        <v>53.933788968800556</v>
      </c>
      <c r="R6" s="1">
        <v>53.933788968800556</v>
      </c>
      <c r="S6" s="1">
        <v>53.933788968800556</v>
      </c>
      <c r="T6" s="1">
        <v>53.933788968800556</v>
      </c>
      <c r="U6" s="1">
        <v>53.933788968800556</v>
      </c>
      <c r="V6" s="1">
        <v>53.933788968800556</v>
      </c>
      <c r="W6" s="1">
        <v>53.933788968800556</v>
      </c>
      <c r="X6" s="1">
        <v>53.933788968800556</v>
      </c>
      <c r="Y6" s="1">
        <v>53.933788968800556</v>
      </c>
      <c r="Z6" s="1">
        <v>53.933788968800556</v>
      </c>
      <c r="AA6" s="1">
        <v>53.933788968800556</v>
      </c>
      <c r="AB6" s="1">
        <v>53.933788968800556</v>
      </c>
      <c r="AC6" s="1">
        <v>53.933788968800556</v>
      </c>
      <c r="AD6" s="1">
        <v>53.933788968800556</v>
      </c>
      <c r="AE6" s="1">
        <v>53.933788968800556</v>
      </c>
      <c r="AF6" s="1">
        <v>53.933788968800556</v>
      </c>
      <c r="AG6" s="1">
        <v>53.933788968800556</v>
      </c>
      <c r="AH6" s="1">
        <v>53.933788968800556</v>
      </c>
      <c r="AI6" s="1">
        <v>53.933788968800556</v>
      </c>
      <c r="AJ6" s="1">
        <v>53.933788968800556</v>
      </c>
      <c r="AK6" s="1">
        <v>53.933788968800556</v>
      </c>
    </row>
    <row r="7" spans="1:37" x14ac:dyDescent="0.2">
      <c r="A7" t="s">
        <v>6</v>
      </c>
      <c r="B7" s="1" cm="1">
        <f t="array" ref="B7:AK7">'[1]Transport. LDVs (Liao)'!$AZ1595:$CI1595 / 0.44</f>
        <v>110.03342318181818</v>
      </c>
      <c r="C7" s="1">
        <v>122.64596409090909</v>
      </c>
      <c r="D7" s="1">
        <v>169.91658045454543</v>
      </c>
      <c r="E7" s="1">
        <v>202.13229090909093</v>
      </c>
      <c r="F7" s="1">
        <v>204.27250227272728</v>
      </c>
      <c r="G7" s="1">
        <v>209.25671636363634</v>
      </c>
      <c r="H7" s="1">
        <v>214.24078204545455</v>
      </c>
      <c r="I7" s="1">
        <v>219.22535499999998</v>
      </c>
      <c r="J7" s="1">
        <v>224.20956909090907</v>
      </c>
      <c r="K7" s="1">
        <v>229.19363477272725</v>
      </c>
      <c r="L7" s="1">
        <v>234.17784886363634</v>
      </c>
      <c r="M7" s="1">
        <v>234.17784886363634</v>
      </c>
      <c r="N7" s="1">
        <v>234.17784886363634</v>
      </c>
      <c r="O7" s="1">
        <v>234.17784886363634</v>
      </c>
      <c r="P7" s="1">
        <v>234.17784886363634</v>
      </c>
      <c r="Q7" s="1">
        <v>234.17784886363634</v>
      </c>
      <c r="R7" s="1">
        <v>234.17784886363634</v>
      </c>
      <c r="S7" s="1">
        <v>234.17784886363634</v>
      </c>
      <c r="T7" s="1">
        <v>234.17784886363634</v>
      </c>
      <c r="U7" s="1">
        <v>234.17784886363634</v>
      </c>
      <c r="V7" s="1">
        <v>234.17784886363634</v>
      </c>
      <c r="W7" s="1">
        <v>234.17784886363634</v>
      </c>
      <c r="X7" s="1">
        <v>234.17784886363634</v>
      </c>
      <c r="Y7" s="1">
        <v>234.17784886363634</v>
      </c>
      <c r="Z7" s="1">
        <v>234.17784886363634</v>
      </c>
      <c r="AA7" s="1">
        <v>234.17784886363634</v>
      </c>
      <c r="AB7" s="1">
        <v>234.17784886363634</v>
      </c>
      <c r="AC7" s="1">
        <v>234.17784886363634</v>
      </c>
      <c r="AD7" s="1">
        <v>234.17784886363634</v>
      </c>
      <c r="AE7" s="1">
        <v>234.17784886363634</v>
      </c>
      <c r="AF7" s="1">
        <v>234.17784886363634</v>
      </c>
      <c r="AG7" s="1">
        <v>234.17784886363634</v>
      </c>
      <c r="AH7" s="1">
        <v>234.17784886363634</v>
      </c>
      <c r="AI7" s="1">
        <v>234.17784886363634</v>
      </c>
      <c r="AJ7" s="1">
        <v>234.17784886363634</v>
      </c>
      <c r="AK7" s="1">
        <v>234.17784886363634</v>
      </c>
    </row>
    <row r="8" spans="1:37" x14ac:dyDescent="0.2">
      <c r="A8" t="s">
        <v>7</v>
      </c>
      <c r="B8" s="1" cm="1">
        <f t="array" ref="B8:AK8">'[1]Transport. LDVs (Liao)'!$AZ1596:$CI1596 / 0.44</f>
        <v>113.12291454545453</v>
      </c>
      <c r="C8" s="1">
        <v>126.08958727272727</v>
      </c>
      <c r="D8" s="1">
        <v>174.68745636363636</v>
      </c>
      <c r="E8" s="1">
        <v>220.27549090909093</v>
      </c>
      <c r="F8" s="1">
        <v>228.07821272727276</v>
      </c>
      <c r="G8" s="1">
        <v>233.64330181818181</v>
      </c>
      <c r="H8" s="1">
        <v>239.20806636363636</v>
      </c>
      <c r="I8" s="1">
        <v>244.77369636363636</v>
      </c>
      <c r="J8" s="1">
        <v>250.33878545454544</v>
      </c>
      <c r="K8" s="1">
        <v>255.90355000000002</v>
      </c>
      <c r="L8" s="1">
        <v>261.46863909090911</v>
      </c>
      <c r="M8" s="1">
        <v>261.46863909090911</v>
      </c>
      <c r="N8" s="1">
        <v>261.46863909090911</v>
      </c>
      <c r="O8" s="1">
        <v>261.46863909090911</v>
      </c>
      <c r="P8" s="1">
        <v>261.46863909090911</v>
      </c>
      <c r="Q8" s="1">
        <v>261.46863909090911</v>
      </c>
      <c r="R8" s="1">
        <v>261.46863909090911</v>
      </c>
      <c r="S8" s="1">
        <v>261.46863909090911</v>
      </c>
      <c r="T8" s="1">
        <v>261.46863909090911</v>
      </c>
      <c r="U8" s="1">
        <v>261.46863909090911</v>
      </c>
      <c r="V8" s="1">
        <v>261.46863909090911</v>
      </c>
      <c r="W8" s="1">
        <v>261.46863909090911</v>
      </c>
      <c r="X8" s="1">
        <v>261.46863909090911</v>
      </c>
      <c r="Y8" s="1">
        <v>261.46863909090911</v>
      </c>
      <c r="Z8" s="1">
        <v>261.46863909090911</v>
      </c>
      <c r="AA8" s="1">
        <v>261.46863909090911</v>
      </c>
      <c r="AB8" s="1">
        <v>261.46863909090911</v>
      </c>
      <c r="AC8" s="1">
        <v>261.46863909090911</v>
      </c>
      <c r="AD8" s="1">
        <v>261.46863909090911</v>
      </c>
      <c r="AE8" s="1">
        <v>261.46863909090911</v>
      </c>
      <c r="AF8" s="1">
        <v>261.46863909090911</v>
      </c>
      <c r="AG8" s="1">
        <v>261.46863909090911</v>
      </c>
      <c r="AH8" s="1">
        <v>261.46863909090911</v>
      </c>
      <c r="AI8" s="1">
        <v>261.46863909090911</v>
      </c>
      <c r="AJ8" s="1">
        <v>261.46863909090911</v>
      </c>
      <c r="AK8" s="1">
        <v>261.46863909090911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Tsai</dc:creator>
  <cp:lastModifiedBy>Tsai, Alissa</cp:lastModifiedBy>
  <dcterms:created xsi:type="dcterms:W3CDTF">2024-06-19T16:03:23Z</dcterms:created>
  <dcterms:modified xsi:type="dcterms:W3CDTF">2026-03-23T20:28:21Z</dcterms:modified>
</cp:coreProperties>
</file>